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amp; Dashboard" sheetId="1" state="visible" r:id="rId1"/>
    <sheet xmlns:r="http://schemas.openxmlformats.org/officeDocument/2006/relationships" name="1. Campaign Architecture" sheetId="2" state="visible" r:id="rId2"/>
    <sheet xmlns:r="http://schemas.openxmlformats.org/officeDocument/2006/relationships" name="2. Audience Targeting Matrix" sheetId="3" state="visible" r:id="rId3"/>
    <sheet xmlns:r="http://schemas.openxmlformats.org/officeDocument/2006/relationships" name="3. Creative Ad Matrix" sheetId="4" state="visible" r:id="rId4"/>
    <sheet xmlns:r="http://schemas.openxmlformats.org/officeDocument/2006/relationships" name="4. Creator Whitelisting" sheetId="5" state="visible" r:id="rId5"/>
    <sheet xmlns:r="http://schemas.openxmlformats.org/officeDocument/2006/relationships" name="5. Budget &amp; Unit Economics" sheetId="6" state="visible" r:id="rId6"/>
    <sheet xmlns:r="http://schemas.openxmlformats.org/officeDocument/2006/relationships" name="6. Tracking &amp; Attribution" sheetId="7" state="visible" r:id="rId7"/>
    <sheet xmlns:r="http://schemas.openxmlformats.org/officeDocument/2006/relationships" name="7. Competitor Ad Deconstruction" sheetId="8" state="visible" r:id="rId8"/>
    <sheet xmlns:r="http://schemas.openxmlformats.org/officeDocument/2006/relationships" name="8. Trending Audio Playlist" sheetId="9" state="visible" r:id="rId9"/>
    <sheet xmlns:r="http://schemas.openxmlformats.org/officeDocument/2006/relationships" name="9. Tenant Co-Op Matching" sheetId="10" state="visible" r:id="rId10"/>
    <sheet xmlns:r="http://schemas.openxmlformats.org/officeDocument/2006/relationships" name="10. Visual Asset Mining" sheetId="11" state="visible" r:id="rId11"/>
    <sheet xmlns:r="http://schemas.openxmlformats.org/officeDocument/2006/relationships" name="11. 4-Year Rating Drift" sheetId="12" state="visible" r:id="rId12"/>
    <sheet xmlns:r="http://schemas.openxmlformats.org/officeDocument/2006/relationships" name="12. FAQ &amp; ManyChat Funnel" sheetId="13" state="visible" r:id="rId13"/>
  </sheets>
  <definedNames>
    <definedName name="_xlnm._FilterDatabase" localSheetId="1" hidden="1">'1. Campaign Architecture'!$A$4:$M$26</definedName>
    <definedName name="_xlnm._FilterDatabase" localSheetId="3" hidden="1">'3. Creative Ad Matrix'!$A$4:$K$20</definedName>
    <definedName name="_xlnm._FilterDatabase" localSheetId="4" hidden="1">'4. Creator Whitelisting'!$A$15:$M$104</definedName>
    <definedName name="_xlnm._FilterDatabase" localSheetId="7" hidden="1">'7. Competitor Ad Deconstruction'!$A$21:$M$446</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5"/>
    </font>
    <font>
      <i val="1"/>
      <color rgb="00475569"/>
      <sz val="9"/>
    </font>
    <font>
      <b val="1"/>
      <color rgb="00FFFFFF"/>
      <sz val="11"/>
    </font>
    <font>
      <b val="1"/>
      <color rgb="00FFFFFF"/>
      <sz val="10"/>
    </font>
    <font>
      <name val="Calibri"/>
      <sz val="10"/>
    </font>
    <font>
      <i val="1"/>
      <color rgb="0078350F"/>
      <sz val="9"/>
    </font>
    <font>
      <name val="Consolas"/>
      <sz val="8.5"/>
    </font>
    <font>
      <b val="1"/>
      <sz val="10"/>
    </font>
    <font>
      <b val="1"/>
      <sz val="11"/>
    </font>
    <font>
      <b val="1"/>
      <color rgb="007C2D12"/>
      <sz val="12"/>
    </font>
    <font>
      <b val="1"/>
    </font>
  </fonts>
  <fills count="18">
    <fill>
      <patternFill/>
    </fill>
    <fill>
      <patternFill patternType="gray125"/>
    </fill>
    <fill>
      <patternFill patternType="solid">
        <fgColor rgb="001F3864"/>
      </patternFill>
    </fill>
    <fill>
      <patternFill patternType="solid">
        <fgColor rgb="000F6E6E"/>
      </patternFill>
    </fill>
    <fill>
      <patternFill patternType="solid">
        <fgColor rgb="00F5F7FA"/>
      </patternFill>
    </fill>
    <fill>
      <patternFill patternType="solid">
        <fgColor rgb="00FEF3C7"/>
      </patternFill>
    </fill>
    <fill>
      <patternFill patternType="solid">
        <fgColor rgb="006B2C5F"/>
      </patternFill>
    </fill>
    <fill>
      <patternFill patternType="solid">
        <fgColor rgb="009C4A1A"/>
      </patternFill>
    </fill>
    <fill>
      <patternFill patternType="solid">
        <fgColor rgb="003F6212"/>
      </patternFill>
    </fill>
    <fill>
      <patternFill patternType="solid">
        <fgColor rgb="00EDF2F7"/>
      </patternFill>
    </fill>
    <fill>
      <patternFill patternType="solid">
        <fgColor rgb="00B45309"/>
      </patternFill>
    </fill>
    <fill>
      <patternFill patternType="solid">
        <fgColor rgb="00334155"/>
      </patternFill>
    </fill>
    <fill>
      <patternFill patternType="solid">
        <fgColor rgb="007C2D12"/>
      </patternFill>
    </fill>
    <fill>
      <patternFill patternType="solid">
        <fgColor rgb="007E22CE"/>
      </patternFill>
    </fill>
    <fill>
      <patternFill patternType="solid">
        <fgColor rgb="000E7490"/>
      </patternFill>
    </fill>
    <fill>
      <patternFill patternType="solid">
        <fgColor rgb="00BE185D"/>
      </patternFill>
    </fill>
    <fill>
      <patternFill patternType="solid">
        <fgColor rgb="001D4ED8"/>
      </patternFill>
    </fill>
    <fill>
      <patternFill patternType="solid">
        <fgColor rgb="00047857"/>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indent="1"/>
    </xf>
    <xf numFmtId="0" fontId="3" fillId="2" borderId="0" applyAlignment="1" pivotButton="0" quotePrefix="0" xfId="0">
      <alignment vertical="center" indent="1"/>
    </xf>
    <xf numFmtId="0" fontId="4" fillId="3"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5" fillId="4" borderId="1" applyAlignment="1" pivotButton="0" quotePrefix="0" xfId="0">
      <alignment vertical="top"/>
    </xf>
    <xf numFmtId="0" fontId="5" fillId="4" borderId="1" applyAlignment="1" pivotButton="0" quotePrefix="0" xfId="0">
      <alignment vertical="top" wrapText="1"/>
    </xf>
    <xf numFmtId="0" fontId="6" fillId="5" borderId="0" applyAlignment="1" pivotButton="0" quotePrefix="0" xfId="0">
      <alignment vertical="center" wrapText="1" indent="1"/>
    </xf>
    <xf numFmtId="0" fontId="1" fillId="3" borderId="0" applyAlignment="1" pivotButton="0" quotePrefix="0" xfId="0">
      <alignment horizontal="left" vertical="center" indent="1"/>
    </xf>
    <xf numFmtId="0" fontId="7" fillId="0" borderId="1" applyAlignment="1" pivotButton="0" quotePrefix="0" xfId="0">
      <alignment vertical="top"/>
    </xf>
    <xf numFmtId="0" fontId="7" fillId="4" borderId="1" applyAlignment="1" pivotButton="0" quotePrefix="0" xfId="0">
      <alignment vertical="top"/>
    </xf>
    <xf numFmtId="0" fontId="1" fillId="6" borderId="0" applyAlignment="1" pivotButton="0" quotePrefix="0" xfId="0">
      <alignment horizontal="left" vertical="center" indent="1"/>
    </xf>
    <xf numFmtId="0" fontId="3" fillId="6" borderId="0" applyAlignment="1" pivotButton="0" quotePrefix="0" xfId="0">
      <alignment vertical="center" indent="1"/>
    </xf>
    <xf numFmtId="0" fontId="4" fillId="6" borderId="1" applyAlignment="1" pivotButton="0" quotePrefix="0" xfId="0">
      <alignment horizontal="center" vertical="center" wrapText="1"/>
    </xf>
    <xf numFmtId="0" fontId="1" fillId="7" borderId="0" applyAlignment="1" pivotButton="0" quotePrefix="0" xfId="0">
      <alignment horizontal="left" vertical="center" indent="1"/>
    </xf>
    <xf numFmtId="0" fontId="4" fillId="7" borderId="1" applyAlignment="1" pivotButton="0" quotePrefix="0" xfId="0">
      <alignment horizontal="center" vertical="center" wrapText="1"/>
    </xf>
    <xf numFmtId="0" fontId="1" fillId="8" borderId="0" applyAlignment="1" pivotButton="0" quotePrefix="0" xfId="0">
      <alignment horizontal="left" vertical="center" indent="1"/>
    </xf>
    <xf numFmtId="0" fontId="3" fillId="8" borderId="0" applyAlignment="1" pivotButton="0" quotePrefix="0" xfId="0">
      <alignment vertical="center" indent="1"/>
    </xf>
    <xf numFmtId="0" fontId="4" fillId="8" borderId="1" applyAlignment="1" pivotButton="0" quotePrefix="0" xfId="0">
      <alignment horizontal="center" vertical="center" wrapText="1"/>
    </xf>
    <xf numFmtId="0" fontId="8" fillId="9" borderId="1" applyAlignment="1" pivotButton="0" quotePrefix="0" xfId="0">
      <alignment vertical="top"/>
    </xf>
    <xf numFmtId="0" fontId="8" fillId="9" borderId="1" applyAlignment="1" pivotButton="0" quotePrefix="0" xfId="0">
      <alignment vertical="top" wrapText="1"/>
    </xf>
    <xf numFmtId="0" fontId="1" fillId="10" borderId="0" applyAlignment="1" pivotButton="0" quotePrefix="0" xfId="0">
      <alignment horizontal="left" vertical="center" indent="1"/>
    </xf>
    <xf numFmtId="0" fontId="9" fillId="0" borderId="0" pivotButton="0" quotePrefix="0" xfId="0"/>
    <xf numFmtId="3" fontId="10" fillId="5" borderId="0" pivotButton="0" quotePrefix="0" xfId="0"/>
    <xf numFmtId="0" fontId="2" fillId="0" borderId="0" pivotButton="0" quotePrefix="0" xfId="0"/>
    <xf numFmtId="0" fontId="4" fillId="10" borderId="1" applyAlignment="1" pivotButton="0" quotePrefix="0" xfId="0">
      <alignment horizontal="center" vertical="center" wrapText="1"/>
    </xf>
    <xf numFmtId="0" fontId="7" fillId="0" borderId="1" pivotButton="0" quotePrefix="0" xfId="0"/>
    <xf numFmtId="0" fontId="0" fillId="0" borderId="1" pivotButton="0" quotePrefix="0" xfId="0"/>
    <xf numFmtId="0" fontId="0" fillId="0" borderId="1" applyAlignment="1" pivotButton="0" quotePrefix="0" xfId="0">
      <alignment vertical="top" wrapText="1"/>
    </xf>
    <xf numFmtId="164" fontId="0" fillId="0" borderId="1" pivotButton="0" quotePrefix="0" xfId="0"/>
    <xf numFmtId="3" fontId="0" fillId="0" borderId="1" pivotButton="0" quotePrefix="0" xfId="0"/>
    <xf numFmtId="0" fontId="11" fillId="9" borderId="1" pivotButton="0" quotePrefix="0" xfId="0"/>
    <xf numFmtId="164" fontId="11" fillId="9" borderId="1" pivotButton="0" quotePrefix="0" xfId="0"/>
    <xf numFmtId="3" fontId="11" fillId="9" borderId="1" pivotButton="0" quotePrefix="0" xfId="0"/>
    <xf numFmtId="0" fontId="3" fillId="10" borderId="0" applyAlignment="1" pivotButton="0" quotePrefix="0" xfId="0">
      <alignment vertical="center" indent="1"/>
    </xf>
    <xf numFmtId="0" fontId="1" fillId="11" borderId="0" applyAlignment="1" pivotButton="0" quotePrefix="0" xfId="0">
      <alignment horizontal="left" vertical="center" indent="1"/>
    </xf>
    <xf numFmtId="0" fontId="4" fillId="11" borderId="1" applyAlignment="1" pivotButton="0" quotePrefix="0" xfId="0">
      <alignment horizontal="center" vertical="center" wrapText="1"/>
    </xf>
    <xf numFmtId="0" fontId="7" fillId="0" borderId="1" applyAlignment="1" pivotButton="0" quotePrefix="0" xfId="0">
      <alignment vertical="top" wrapText="1"/>
    </xf>
    <xf numFmtId="0" fontId="7" fillId="4" borderId="1" applyAlignment="1" pivotButton="0" quotePrefix="0" xfId="0">
      <alignment vertical="top" wrapText="1"/>
    </xf>
    <xf numFmtId="0" fontId="3" fillId="11" borderId="0" applyAlignment="1" pivotButton="0" quotePrefix="0" xfId="0">
      <alignment vertical="center" indent="1"/>
    </xf>
    <xf numFmtId="0" fontId="1" fillId="12" borderId="0" applyAlignment="1" pivotButton="0" quotePrefix="0" xfId="0">
      <alignment horizontal="left" vertical="center" indent="1"/>
    </xf>
    <xf numFmtId="0" fontId="3" fillId="12" borderId="0" applyAlignment="1" pivotButton="0" quotePrefix="0" xfId="0">
      <alignment vertical="center" indent="1"/>
    </xf>
    <xf numFmtId="0" fontId="4" fillId="12" borderId="1" applyAlignment="1" pivotButton="0" quotePrefix="0" xfId="0">
      <alignment horizontal="center" vertical="center" wrapText="1"/>
    </xf>
    <xf numFmtId="0" fontId="1" fillId="13" borderId="0" applyAlignment="1" pivotButton="0" quotePrefix="0" xfId="0">
      <alignment horizontal="left" vertical="center" indent="1"/>
    </xf>
    <xf numFmtId="0" fontId="3" fillId="13" borderId="0" applyAlignment="1" pivotButton="0" quotePrefix="0" xfId="0">
      <alignment vertical="center" indent="1"/>
    </xf>
    <xf numFmtId="0" fontId="4" fillId="13" borderId="1" applyAlignment="1" pivotButton="0" quotePrefix="0" xfId="0">
      <alignment horizontal="center" vertical="center" wrapText="1"/>
    </xf>
    <xf numFmtId="0" fontId="1" fillId="14" borderId="0" applyAlignment="1" pivotButton="0" quotePrefix="0" xfId="0">
      <alignment horizontal="left" vertical="center" indent="1"/>
    </xf>
    <xf numFmtId="0" fontId="3" fillId="14" borderId="0" applyAlignment="1" pivotButton="0" quotePrefix="0" xfId="0">
      <alignment vertical="center" indent="1"/>
    </xf>
    <xf numFmtId="0" fontId="4" fillId="14" borderId="1" applyAlignment="1" pivotButton="0" quotePrefix="0" xfId="0">
      <alignment horizontal="center" vertical="center" wrapText="1"/>
    </xf>
    <xf numFmtId="0" fontId="1" fillId="15" borderId="0" applyAlignment="1" pivotButton="0" quotePrefix="0" xfId="0">
      <alignment horizontal="left" vertical="center" indent="1"/>
    </xf>
    <xf numFmtId="0" fontId="3" fillId="15" borderId="0" applyAlignment="1" pivotButton="0" quotePrefix="0" xfId="0">
      <alignment vertical="center" indent="1"/>
    </xf>
    <xf numFmtId="0" fontId="4" fillId="15" borderId="1" applyAlignment="1" pivotButton="0" quotePrefix="0" xfId="0">
      <alignment horizontal="center" vertical="center" wrapText="1"/>
    </xf>
    <xf numFmtId="0" fontId="1" fillId="16" borderId="0" applyAlignment="1" pivotButton="0" quotePrefix="0" xfId="0">
      <alignment horizontal="left" vertical="center" indent="1"/>
    </xf>
    <xf numFmtId="0" fontId="3" fillId="16" borderId="0" applyAlignment="1" pivotButton="0" quotePrefix="0" xfId="0">
      <alignment vertical="center" indent="1"/>
    </xf>
    <xf numFmtId="0" fontId="4" fillId="16" borderId="1" applyAlignment="1" pivotButton="0" quotePrefix="0" xfId="0">
      <alignment horizontal="center" vertical="center" wrapText="1"/>
    </xf>
    <xf numFmtId="0" fontId="1" fillId="17" borderId="0" applyAlignment="1" pivotButton="0" quotePrefix="0" xfId="0">
      <alignment horizontal="left" vertical="center" indent="1"/>
    </xf>
    <xf numFmtId="0" fontId="3" fillId="17" borderId="0" applyAlignment="1" pivotButton="0" quotePrefix="0" xfId="0">
      <alignment vertical="center" indent="1"/>
    </xf>
    <xf numFmtId="0" fontId="4" fillId="1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4-Year Google Rating Drift (2023-2026)</a:t>
            </a:r>
          </a:p>
        </rich>
      </tx>
    </title>
    <plotArea>
      <lineChart>
        <grouping val="standard"/>
        <ser>
          <idx val="0"/>
          <order val="0"/>
          <tx>
            <strRef>
              <f>'0. Read Me &amp; Dashboard'!T26</f>
            </strRef>
          </tx>
          <spPr>
            <a:ln xmlns:a="http://schemas.openxmlformats.org/drawingml/2006/main">
              <a:prstDash val="solid"/>
            </a:ln>
          </spPr>
          <marker>
            <symbol val="none"/>
            <spPr>
              <a:ln xmlns:a="http://schemas.openxmlformats.org/drawingml/2006/main">
                <a:prstDash val="solid"/>
              </a:ln>
            </spPr>
          </marker>
          <cat>
            <numRef>
              <f>'0. Read Me &amp; Dashboard'!$U$25:$X$25</f>
            </numRef>
          </cat>
          <val>
            <numRef>
              <f>'0. Read Me &amp; Dashboard'!$U$26:$X$26</f>
            </numRef>
          </val>
        </ser>
        <ser>
          <idx val="1"/>
          <order val="1"/>
          <tx>
            <strRef>
              <f>'0. Read Me &amp; Dashboard'!T27</f>
            </strRef>
          </tx>
          <spPr>
            <a:ln xmlns:a="http://schemas.openxmlformats.org/drawingml/2006/main">
              <a:prstDash val="solid"/>
            </a:ln>
          </spPr>
          <marker>
            <symbol val="none"/>
            <spPr>
              <a:ln xmlns:a="http://schemas.openxmlformats.org/drawingml/2006/main">
                <a:prstDash val="solid"/>
              </a:ln>
            </spPr>
          </marker>
          <cat>
            <numRef>
              <f>'0. Read Me &amp; Dashboard'!$U$25:$X$25</f>
            </numRef>
          </cat>
          <val>
            <numRef>
              <f>'0. Read Me &amp; Dashboard'!$U$27:$X$27</f>
            </numRef>
          </val>
        </ser>
        <ser>
          <idx val="2"/>
          <order val="2"/>
          <tx>
            <strRef>
              <f>'0. Read Me &amp; Dashboard'!T28</f>
            </strRef>
          </tx>
          <spPr>
            <a:ln xmlns:a="http://schemas.openxmlformats.org/drawingml/2006/main">
              <a:prstDash val="solid"/>
            </a:ln>
          </spPr>
          <marker>
            <symbol val="none"/>
            <spPr>
              <a:ln xmlns:a="http://schemas.openxmlformats.org/drawingml/2006/main">
                <a:prstDash val="solid"/>
              </a:ln>
            </spPr>
          </marker>
          <cat>
            <numRef>
              <f>'0. Read Me &amp; Dashboard'!$U$25:$X$25</f>
            </numRef>
          </cat>
          <val>
            <numRef>
              <f>'0. Read Me &amp; Dashboard'!$U$28:$X$28</f>
            </numRef>
          </val>
        </ser>
        <ser>
          <idx val="3"/>
          <order val="3"/>
          <tx>
            <strRef>
              <f>'0. Read Me &amp; Dashboard'!T29</f>
            </strRef>
          </tx>
          <spPr>
            <a:ln xmlns:a="http://schemas.openxmlformats.org/drawingml/2006/main">
              <a:prstDash val="solid"/>
            </a:ln>
          </spPr>
          <marker>
            <symbol val="none"/>
            <spPr>
              <a:ln xmlns:a="http://schemas.openxmlformats.org/drawingml/2006/main">
                <a:prstDash val="solid"/>
              </a:ln>
            </spPr>
          </marker>
          <cat>
            <numRef>
              <f>'0. Read Me &amp; Dashboard'!$U$25:$X$25</f>
            </numRef>
          </cat>
          <val>
            <numRef>
              <f>'0. Read Me &amp; Dashboard'!$U$29:$X$29</f>
            </numRef>
          </val>
        </ser>
        <ser>
          <idx val="4"/>
          <order val="4"/>
          <tx>
            <strRef>
              <f>'0. Read Me &amp; Dashboard'!T30</f>
            </strRef>
          </tx>
          <spPr>
            <a:ln xmlns:a="http://schemas.openxmlformats.org/drawingml/2006/main">
              <a:prstDash val="solid"/>
            </a:ln>
          </spPr>
          <marker>
            <symbol val="none"/>
            <spPr>
              <a:ln xmlns:a="http://schemas.openxmlformats.org/drawingml/2006/main">
                <a:prstDash val="solid"/>
              </a:ln>
            </spPr>
          </marker>
          <cat>
            <numRef>
              <f>'0. Read Me &amp; Dashboard'!$U$25:$X$25</f>
            </numRef>
          </cat>
          <val>
            <numRef>
              <f>'0. Read Me &amp; Dashboard'!$U$30:$X$30</f>
            </numRef>
          </val>
        </ser>
        <ser>
          <idx val="5"/>
          <order val="5"/>
          <tx>
            <strRef>
              <f>'0. Read Me &amp; Dashboard'!T31</f>
            </strRef>
          </tx>
          <spPr>
            <a:ln xmlns:a="http://schemas.openxmlformats.org/drawingml/2006/main">
              <a:prstDash val="solid"/>
            </a:ln>
          </spPr>
          <marker>
            <symbol val="none"/>
            <spPr>
              <a:ln xmlns:a="http://schemas.openxmlformats.org/drawingml/2006/main">
                <a:prstDash val="solid"/>
              </a:ln>
            </spPr>
          </marker>
          <cat>
            <numRef>
              <f>'0. Read Me &amp; Dashboard'!$U$25:$X$25</f>
            </numRef>
          </cat>
          <val>
            <numRef>
              <f>'0. Read Me &amp; Dashboard'!$U$31:$X$31</f>
            </numRef>
          </val>
        </ser>
        <ser>
          <idx val="6"/>
          <order val="6"/>
          <tx>
            <strRef>
              <f>'0. Read Me &amp; Dashboard'!T32</f>
            </strRef>
          </tx>
          <spPr>
            <a:ln xmlns:a="http://schemas.openxmlformats.org/drawingml/2006/main">
              <a:prstDash val="solid"/>
            </a:ln>
          </spPr>
          <marker>
            <symbol val="none"/>
            <spPr>
              <a:ln xmlns:a="http://schemas.openxmlformats.org/drawingml/2006/main">
                <a:prstDash val="solid"/>
              </a:ln>
            </spPr>
          </marker>
          <cat>
            <numRef>
              <f>'0. Read Me &amp; Dashboard'!$U$25:$X$25</f>
            </numRef>
          </cat>
          <val>
            <numRef>
              <f>'0. Read Me &amp; Dashboard'!$U$32:$X$32</f>
            </numRef>
          </val>
        </ser>
        <ser>
          <idx val="7"/>
          <order val="7"/>
          <tx>
            <strRef>
              <f>'0. Read Me &amp; Dashboard'!T33</f>
            </strRef>
          </tx>
          <spPr>
            <a:ln xmlns:a="http://schemas.openxmlformats.org/drawingml/2006/main">
              <a:prstDash val="solid"/>
            </a:ln>
          </spPr>
          <marker>
            <symbol val="none"/>
            <spPr>
              <a:ln xmlns:a="http://schemas.openxmlformats.org/drawingml/2006/main">
                <a:prstDash val="solid"/>
              </a:ln>
            </spPr>
          </marker>
          <cat>
            <numRef>
              <f>'0. Read Me &amp; Dashboard'!$U$25:$X$25</f>
            </numRef>
          </cat>
          <val>
            <numRef>
              <f>'0. Read Me &amp; Dashboard'!$U$33:$X$33</f>
            </numRef>
          </val>
        </ser>
        <axId val="10"/>
        <axId val="100"/>
      </lineChart>
      <catAx>
        <axId val="10"/>
        <scaling>
          <orientation val="minMax"/>
        </scaling>
        <axPos val="l"/>
        <majorTickMark val="none"/>
        <minorTickMark val="none"/>
        <crossAx val="100"/>
        <lblOffset val="100"/>
      </catAx>
      <valAx>
        <axId val="100"/>
        <scaling>
          <orientation val="minMax"/>
          <max val="5"/>
          <min val="3.5"/>
        </scaling>
        <axPos val="l"/>
        <majorGridlines/>
        <title>
          <tx>
            <rich>
              <a:bodyPr xmlns:a="http://schemas.openxmlformats.org/drawingml/2006/main"/>
              <a:p xmlns:a="http://schemas.openxmlformats.org/drawingml/2006/main">
                <a:pPr>
                  <a:defRPr/>
                </a:pPr>
                <a:r>
                  <a:t>Average rating</a:t>
                </a:r>
              </a:p>
            </rich>
          </tx>
        </title>
        <majorTickMark val="none"/>
        <minorTickMark val="none"/>
        <crossAx val="10"/>
      </valAx>
    </plotArea>
    <legend>
      <legendPos val="r"/>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Negative-Review Friction Stack (1-star and 2-star mentions)</a:t>
            </a:r>
          </a:p>
        </rich>
      </tx>
    </title>
    <plotArea>
      <barChart>
        <barDir val="col"/>
        <grouping val="stacked"/>
        <ser>
          <idx val="0"/>
          <order val="0"/>
          <tx>
            <strRef>
              <f>'0. Read Me &amp; Dashboard'!U38</f>
            </strRef>
          </tx>
          <spPr>
            <a:ln xmlns:a="http://schemas.openxmlformats.org/drawingml/2006/main">
              <a:prstDash val="solid"/>
            </a:ln>
          </spPr>
          <cat>
            <numRef>
              <f>'0. Read Me &amp; Dashboard'!$T$39:$T$48</f>
            </numRef>
          </cat>
          <val>
            <numRef>
              <f>'0. Read Me &amp; Dashboard'!$U$39:$U$48</f>
            </numRef>
          </val>
        </ser>
        <ser>
          <idx val="1"/>
          <order val="1"/>
          <tx>
            <strRef>
              <f>'0. Read Me &amp; Dashboard'!V38</f>
            </strRef>
          </tx>
          <spPr>
            <a:ln xmlns:a="http://schemas.openxmlformats.org/drawingml/2006/main">
              <a:prstDash val="solid"/>
            </a:ln>
          </spPr>
          <cat>
            <numRef>
              <f>'0. Read Me &amp; Dashboard'!$T$39:$T$48</f>
            </numRef>
          </cat>
          <val>
            <numRef>
              <f>'0. Read Me &amp; Dashboard'!$V$39:$V$48</f>
            </numRef>
          </val>
        </ser>
        <ser>
          <idx val="2"/>
          <order val="2"/>
          <tx>
            <strRef>
              <f>'0. Read Me &amp; Dashboard'!W38</f>
            </strRef>
          </tx>
          <spPr>
            <a:ln xmlns:a="http://schemas.openxmlformats.org/drawingml/2006/main">
              <a:prstDash val="solid"/>
            </a:ln>
          </spPr>
          <cat>
            <numRef>
              <f>'0. Read Me &amp; Dashboard'!$T$39:$T$48</f>
            </numRef>
          </cat>
          <val>
            <numRef>
              <f>'0. Read Me &amp; Dashboard'!$W$39:$W$48</f>
            </numRef>
          </val>
        </ser>
        <ser>
          <idx val="3"/>
          <order val="3"/>
          <tx>
            <strRef>
              <f>'0. Read Me &amp; Dashboard'!X38</f>
            </strRef>
          </tx>
          <spPr>
            <a:ln xmlns:a="http://schemas.openxmlformats.org/drawingml/2006/main">
              <a:prstDash val="solid"/>
            </a:ln>
          </spPr>
          <cat>
            <numRef>
              <f>'0. Read Me &amp; Dashboard'!$T$39:$T$48</f>
            </numRef>
          </cat>
          <val>
            <numRef>
              <f>'0. Read Me &amp; Dashboard'!$X$39:$X$48</f>
            </numRef>
          </val>
        </ser>
        <ser>
          <idx val="4"/>
          <order val="4"/>
          <tx>
            <strRef>
              <f>'0. Read Me &amp; Dashboard'!Y38</f>
            </strRef>
          </tx>
          <spPr>
            <a:ln xmlns:a="http://schemas.openxmlformats.org/drawingml/2006/main">
              <a:prstDash val="solid"/>
            </a:ln>
          </spPr>
          <cat>
            <numRef>
              <f>'0. Read Me &amp; Dashboard'!$T$39:$T$48</f>
            </numRef>
          </cat>
          <val>
            <numRef>
              <f>'0. Read Me &amp; Dashboard'!$Y$39:$Y$48</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Day-of-Week Reach Velocity → dayparting windows</a:t>
            </a:r>
          </a:p>
        </rich>
      </tx>
    </title>
    <plotArea>
      <barChart>
        <barDir val="col"/>
        <grouping val="clustered"/>
        <ser>
          <idx val="0"/>
          <order val="0"/>
          <tx>
            <strRef>
              <f>'0. Read Me &amp; Dashboard'!U53</f>
            </strRef>
          </tx>
          <spPr>
            <a:ln xmlns:a="http://schemas.openxmlformats.org/drawingml/2006/main">
              <a:prstDash val="solid"/>
            </a:ln>
          </spPr>
          <cat>
            <numRef>
              <f>'0. Read Me &amp; Dashboard'!$T$54:$T$60</f>
            </numRef>
          </cat>
          <val>
            <numRef>
              <f>'0. Read Me &amp; Dashboard'!$U$54:$U$60</f>
            </numRef>
          </val>
        </ser>
        <ser>
          <idx val="1"/>
          <order val="1"/>
          <tx>
            <strRef>
              <f>'0. Read Me &amp; Dashboard'!V53</f>
            </strRef>
          </tx>
          <spPr>
            <a:ln xmlns:a="http://schemas.openxmlformats.org/drawingml/2006/main">
              <a:prstDash val="solid"/>
            </a:ln>
          </spPr>
          <cat>
            <numRef>
              <f>'0. Read Me &amp; Dashboard'!$T$54:$T$60</f>
            </numRef>
          </cat>
          <val>
            <numRef>
              <f>'0. Read Me &amp; Dashboard'!$V$54:$V$60</f>
            </numRef>
          </val>
        </ser>
        <ser>
          <idx val="2"/>
          <order val="2"/>
          <tx>
            <strRef>
              <f>'0. Read Me &amp; Dashboard'!W53</f>
            </strRef>
          </tx>
          <spPr>
            <a:ln xmlns:a="http://schemas.openxmlformats.org/drawingml/2006/main">
              <a:prstDash val="solid"/>
            </a:ln>
          </spPr>
          <cat>
            <numRef>
              <f>'0. Read Me &amp; Dashboard'!$T$54:$T$60</f>
            </numRef>
          </cat>
          <val>
            <numRef>
              <f>'0. Read Me &amp; Dashboard'!$W$54:$W$60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425 Competitor Ads by Longevity Tier</a:t>
            </a:r>
          </a:p>
        </rich>
      </tx>
    </title>
    <plotArea>
      <pieChart>
        <varyColors val="1"/>
        <ser>
          <idx val="0"/>
          <order val="0"/>
          <tx>
            <strRef>
              <f>'0. Read Me &amp; Dashboard'!U65</f>
            </strRef>
          </tx>
          <spPr>
            <a:ln xmlns:a="http://schemas.openxmlformats.org/drawingml/2006/main">
              <a:prstDash val="solid"/>
            </a:ln>
          </spPr>
          <cat>
            <numRef>
              <f>'0. Read Me &amp; Dashboard'!$T$66:$T$70</f>
            </numRef>
          </cat>
          <val>
            <numRef>
              <f>'0. Read Me &amp; Dashboard'!$U$66:$U$70</f>
            </numRef>
          </val>
        </ser>
        <firstSliceAng val="0"/>
      </pieChart>
    </plotArea>
    <legend>
      <legendPos val="r"/>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Google rating by year, all 12 malls</a:t>
            </a:r>
          </a:p>
        </rich>
      </tx>
    </title>
    <plotArea>
      <lineChart>
        <grouping val="standard"/>
        <ser>
          <idx val="0"/>
          <order val="0"/>
          <tx>
            <strRef>
              <f>'11. 4-Year Rating Drift'!T60</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Drift'!$U$60:$X$60</f>
            </numRef>
          </val>
        </ser>
        <ser>
          <idx val="1"/>
          <order val="1"/>
          <tx>
            <strRef>
              <f>'11. 4-Year Rating Drift'!T61</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Drift'!$U$61:$X$61</f>
            </numRef>
          </val>
        </ser>
        <ser>
          <idx val="2"/>
          <order val="2"/>
          <tx>
            <strRef>
              <f>'11. 4-Year Rating Drift'!T62</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Drift'!$U$62:$X$62</f>
            </numRef>
          </val>
        </ser>
        <ser>
          <idx val="3"/>
          <order val="3"/>
          <tx>
            <strRef>
              <f>'11. 4-Year Rating Drift'!T63</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Drift'!$U$63:$X$63</f>
            </numRef>
          </val>
        </ser>
        <ser>
          <idx val="4"/>
          <order val="4"/>
          <tx>
            <strRef>
              <f>'11. 4-Year Rating Drift'!T64</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Drift'!$U$64:$X$64</f>
            </numRef>
          </val>
        </ser>
        <ser>
          <idx val="5"/>
          <order val="5"/>
          <tx>
            <strRef>
              <f>'11. 4-Year Rating Drift'!T65</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Drift'!$U$65:$X$65</f>
            </numRef>
          </val>
        </ser>
        <ser>
          <idx val="6"/>
          <order val="6"/>
          <tx>
            <strRef>
              <f>'11. 4-Year Rating Drift'!T66</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Drift'!$U$66:$X$66</f>
            </numRef>
          </val>
        </ser>
        <ser>
          <idx val="7"/>
          <order val="7"/>
          <tx>
            <strRef>
              <f>'11. 4-Year Rating Drift'!T67</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Drift'!$U$67:$X$67</f>
            </numRef>
          </val>
        </ser>
        <ser>
          <idx val="8"/>
          <order val="8"/>
          <tx>
            <strRef>
              <f>'11. 4-Year Rating Drift'!T68</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Drift'!$U$68:$X$68</f>
            </numRef>
          </val>
        </ser>
        <ser>
          <idx val="9"/>
          <order val="9"/>
          <tx>
            <strRef>
              <f>'11. 4-Year Rating Drift'!T69</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Drift'!$U$69:$X$69</f>
            </numRef>
          </val>
        </ser>
        <ser>
          <idx val="10"/>
          <order val="10"/>
          <tx>
            <strRef>
              <f>'11. 4-Year Rating Drift'!T70</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Drift'!$U$70:$X$70</f>
            </numRef>
          </val>
        </ser>
        <ser>
          <idx val="11"/>
          <order val="11"/>
          <tx>
            <strRef>
              <f>'11. 4-Year Rating Drift'!T71</f>
            </strRef>
          </tx>
          <spPr>
            <a:ln xmlns:a="http://schemas.openxmlformats.org/drawingml/2006/main">
              <a:prstDash val="solid"/>
            </a:ln>
          </spPr>
          <marker>
            <symbol val="none"/>
            <spPr>
              <a:ln xmlns:a="http://schemas.openxmlformats.org/drawingml/2006/main">
                <a:prstDash val="solid"/>
              </a:ln>
            </spPr>
          </marker>
          <cat>
            <numRef>
              <f>'11. 4-Year Rating Drift'!$U$59:$X$59</f>
            </numRef>
          </cat>
          <val>
            <numRef>
              <f>'11. 4-Year Rating Drift'!$U$71:$X$71</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5"/>
          <min val="3.4"/>
        </scaling>
        <axPos val="l"/>
        <majorGridlines/>
        <title>
          <tx>
            <rich>
              <a:bodyPr xmlns:a="http://schemas.openxmlformats.org/drawingml/2006/main"/>
              <a:p xmlns:a="http://schemas.openxmlformats.org/drawingml/2006/main">
                <a:pPr>
                  <a:defRPr/>
                </a:pPr>
                <a:r>
                  <a:t>Average rating</a:t>
                </a:r>
              </a:p>
            </rich>
          </tx>
        </title>
        <majorTickMark val="none"/>
        <minorTickMark val="none"/>
        <crossAx val="10"/>
      </valAx>
    </plotArea>
    <legend>
      <legendPos val="r"/>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0</col>
      <colOff>0</colOff>
      <row>24</row>
      <rowOff>0</rowOff>
    </from>
    <ext cx="61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24</row>
      <rowOff>0</rowOff>
    </from>
    <ext cx="612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42</row>
      <rowOff>0</rowOff>
    </from>
    <ext cx="6120000"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10</col>
      <colOff>0</colOff>
      <row>42</row>
      <rowOff>0</rowOff>
    </from>
    <ext cx="6120000" cy="30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0</col>
      <colOff>0</colOff>
      <row>18</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1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1F3864"/>
    <outlinePr summaryBelow="1" summaryRight="1"/>
    <pageSetUpPr/>
  </sheetPr>
  <dimension ref="A1:Y70"/>
  <sheetViews>
    <sheetView workbookViewId="0">
      <selection activeCell="A1" sqref="A1"/>
    </sheetView>
  </sheetViews>
  <sheetFormatPr baseColWidth="8" defaultRowHeight="15"/>
  <cols>
    <col width="34" customWidth="1" min="1" max="1"/>
    <col width="20" customWidth="1" min="2" max="2"/>
    <col width="26" customWidth="1" min="3" max="3"/>
    <col width="30" customWidth="1" min="4" max="4"/>
    <col width="64" customWidth="1" min="5" max="5"/>
    <col hidden="1" width="13" customWidth="1" min="20" max="20"/>
    <col hidden="1" width="13" customWidth="1" min="21" max="21"/>
    <col hidden="1" width="13" customWidth="1" min="22" max="22"/>
    <col hidden="1" width="13" customWidth="1" min="23" max="23"/>
    <col hidden="1" width="13" customWidth="1" min="24" max="24"/>
    <col hidden="1" width="13" customWidth="1" min="25" max="25"/>
  </cols>
  <sheetData>
    <row r="1" ht="30" customHeight="1">
      <c r="A1" s="1" t="inlineStr">
        <is>
          <t>LAKE SHORE INDIA ADVISORY — MEDIA BUYER INTELLIGENCE ENGINE</t>
        </is>
      </c>
    </row>
    <row r="2" ht="20" customHeight="1">
      <c r="A2" s="2" t="inlineStr">
        <is>
          <t>KOPA Mall Pune (@kopapune)  •  Lake Shore Y Junction Hyderabad (@lakeshoreyjunction)  |  Built 02 Sep 2026 from 5 first-party scraped datasets</t>
        </is>
      </c>
    </row>
    <row r="4" ht="22" customHeight="1">
      <c r="A4" s="3" t="inlineStr">
        <is>
          <t>WHAT WENT IN — RAW EVIDENCE BASE</t>
        </is>
      </c>
    </row>
    <row r="5" ht="34" customHeight="1">
      <c r="A5" s="4" t="inlineStr">
        <is>
          <t>Dataset</t>
        </is>
      </c>
      <c r="B5" s="4" t="inlineStr">
        <is>
          <t>Volume</t>
        </is>
      </c>
      <c r="C5" s="4" t="inlineStr">
        <is>
          <t>What a media buyer pulls out of it</t>
        </is>
      </c>
      <c r="D5" s="4" t="inlineStr">
        <is>
          <t>Feeds Tabs</t>
        </is>
      </c>
    </row>
    <row r="6">
      <c r="A6" s="5" t="inlineStr">
        <is>
          <t>Google Maps Reviews (all_malls_reviews.csv)</t>
        </is>
      </c>
      <c r="B6" s="5" t="inlineStr">
        <is>
          <t>23,218 reviews • 12 malls • 2017-2026</t>
        </is>
      </c>
      <c r="C6" s="6" t="inlineStr">
        <is>
          <t>Negative friction clusters, 4-year rating decay, local-guide authority, geo/pincode, photo-shopper photos mining</t>
        </is>
      </c>
      <c r="D6" s="5" t="inlineStr">
        <is>
          <t>2, 3, 10, 11</t>
        </is>
      </c>
    </row>
    <row r="7">
      <c r="A7" s="7" t="inlineStr">
        <is>
          <t>Instagram 1-Year Master Audit (JSON)</t>
        </is>
      </c>
      <c r="B7" s="7" t="inlineStr">
        <is>
          <t>4,133 posts • 1,848 collabs • 586 creators • 12 malls</t>
        </is>
      </c>
      <c r="C7" s="8" t="inlineStr">
        <is>
          <t>Dayparting cadence, viral audio, creator tiers, loyalists vs mercenaries, boosted-post detection</t>
        </is>
      </c>
      <c r="D7" s="7" t="inlineStr">
        <is>
          <t>1, 4, 8</t>
        </is>
      </c>
    </row>
    <row r="8">
      <c r="A8" s="5" t="inlineStr">
        <is>
          <t>Meta Ad Library Scrape (JSON)</t>
        </is>
      </c>
      <c r="B8" s="5" t="inlineStr">
        <is>
          <t>425 ad cards • 369 live • 10 malls</t>
        </is>
      </c>
      <c r="C8" s="6" t="inlineStr">
        <is>
          <t>Competitor hooks, Call to Action mix, ad longevity tiers, co-op &amp; piggyback advertisers</t>
        </is>
      </c>
      <c r="D8" s="5" t="inlineStr">
        <is>
          <t>7, 9</t>
        </is>
      </c>
    </row>
    <row r="9">
      <c r="A9" s="7" t="inlineStr">
        <is>
          <t>Instagram Comments + language analysis (JSON)</t>
        </is>
      </c>
      <c r="B9" s="7" t="inlineStr">
        <is>
          <t>1,524 comments across 120 reels</t>
        </is>
      </c>
      <c r="C9" s="8" t="inlineStr">
        <is>
          <t>High-intent FAQ mining, friction comments, comment-to-Direct-Message automation triggers</t>
        </is>
      </c>
      <c r="D9" s="7" t="inlineStr">
        <is>
          <t>12</t>
        </is>
      </c>
    </row>
    <row r="10">
      <c r="A10" s="5" t="inlineStr">
        <is>
          <t>YouTube Videos &amp; Shorts (XLSX)</t>
        </is>
      </c>
      <c r="B10" s="5" t="inlineStr">
        <is>
          <t>179 videos • transcripts • brand mentions</t>
        </is>
      </c>
      <c r="C10" s="6" t="inlineStr">
        <is>
          <t>Creative archetype share, spoken tenant brands, parking/crowd friction flags</t>
        </is>
      </c>
      <c r="D10" s="5" t="inlineStr">
        <is>
          <t>3, 9</t>
        </is>
      </c>
    </row>
    <row r="12" ht="22" customHeight="1">
      <c r="A12" s="3" t="inlineStr">
        <is>
          <t>HEADLINE NUMBERS THE BUY IS BUILT ON</t>
        </is>
      </c>
    </row>
    <row r="13" ht="34" customHeight="1">
      <c r="A13" s="4" t="inlineStr">
        <is>
          <t>Metric</t>
        </is>
      </c>
      <c r="B13" s="4" t="inlineStr">
        <is>
          <t>KOPA Mall Pune</t>
        </is>
      </c>
      <c r="C13" s="4" t="inlineStr">
        <is>
          <t>Lake Shore Y Junction</t>
        </is>
      </c>
      <c r="D13" s="4" t="inlineStr">
        <is>
          <t>Sharpest Competitor</t>
        </is>
      </c>
      <c r="E13" s="4" t="inlineStr">
        <is>
          <t>So what — the media buying implication</t>
        </is>
      </c>
    </row>
    <row r="14">
      <c r="A14" s="5" t="inlineStr">
        <is>
          <t>Google rating (all-time)</t>
        </is>
      </c>
      <c r="B14" s="5" t="n">
        <v>4.43</v>
      </c>
      <c r="C14" s="5" t="inlineStr">
        <is>
          <t>3.97 (Manjeera, Y-Jn catchment)</t>
        </is>
      </c>
      <c r="D14" s="5" t="inlineStr">
        <is>
          <t>Pavillion 4.53 / Amanora 4.52</t>
        </is>
      </c>
      <c r="E14" s="6" t="inlineStr">
        <is>
          <t>KOPA is inside 0.10 of the Pune leader — rating is not the problem, reach is.</t>
        </is>
      </c>
    </row>
    <row r="15">
      <c r="A15" s="7" t="inlineStr">
        <is>
          <t>1-2 star share of reviews</t>
        </is>
      </c>
      <c r="B15" s="7" t="inlineStr">
        <is>
          <t>6.22%</t>
        </is>
      </c>
      <c r="C15" s="7" t="inlineStr">
        <is>
          <t>9.80% (Manjeera) / 9.61% (Lulu)</t>
        </is>
      </c>
      <c r="D15" s="7" t="inlineStr">
        <is>
          <t>Lulu Hyd 9.61%</t>
        </is>
      </c>
      <c r="E15" s="8" t="inlineStr">
        <is>
          <t>Y-Junction rivals bleed 2x more negative reviews — conquest fuel.</t>
        </is>
      </c>
    </row>
    <row r="16">
      <c r="A16" s="5" t="inlineStr">
        <is>
          <t>#1 friction word in rivals' 1-star and 2-star</t>
        </is>
      </c>
      <c r="B16" s="5" t="inlineStr">
        <is>
          <t>Parking (18 mentions)</t>
        </is>
      </c>
      <c r="C16" s="5" t="inlineStr">
        <is>
          <t>Staff/Service + Washroom (Lulu 43/26)</t>
        </is>
      </c>
      <c r="D16" s="5" t="inlineStr">
        <is>
          <t>Phoenix Avenue of Stars Parking 62</t>
        </is>
      </c>
      <c r="E16" s="6" t="inlineStr">
        <is>
          <t>Parking + valet is the single largest paid-social wedge in both cities.</t>
        </is>
      </c>
    </row>
    <row r="17">
      <c r="A17" s="7" t="inlineStr">
        <is>
          <t>Instagram posts scanned (over 1 year)</t>
        </is>
      </c>
      <c r="B17" s="7" t="n">
        <v>330</v>
      </c>
      <c r="C17" s="7" t="n">
        <v>135</v>
      </c>
      <c r="D17" s="7" t="inlineStr">
        <is>
          <t>408 (Phoenix/Nexus/Lulu/Inorbit)</t>
        </is>
      </c>
      <c r="E17" s="8" t="inlineStr">
        <is>
          <t>Y Junction publishes 3x less than every rival — always-on flighting gap.</t>
        </is>
      </c>
    </row>
    <row r="18">
      <c r="A18" s="5" t="inlineStr">
        <is>
          <t>Avg views per owned post</t>
        </is>
      </c>
      <c r="B18" s="5" t="inlineStr">
        <is>
          <t>410,494</t>
        </is>
      </c>
      <c r="C18" s="5" t="inlineStr">
        <is>
          <t>746,928</t>
        </is>
      </c>
      <c r="D18" s="5" t="inlineStr">
        <is>
          <t>Inorbit 866,559 / Pavillion 872,919</t>
        </is>
      </c>
      <c r="E18" s="6" t="inlineStr">
        <is>
          <t>Lake Shore organic reach is competitive; the missing layer is paid amplification.</t>
        </is>
      </c>
    </row>
    <row r="19">
      <c r="A19" s="7" t="inlineStr">
        <is>
          <t>Boosted posts detected (over 1 year)</t>
        </is>
      </c>
      <c r="B19" s="7" t="n">
        <v>0</v>
      </c>
      <c r="C19" s="7" t="n">
        <v>0</v>
      </c>
      <c r="D19" s="7" t="inlineStr">
        <is>
          <t>Phoenix Millennium 153 / Nexus 93</t>
        </is>
      </c>
      <c r="E19" s="8" t="inlineStr">
        <is>
          <t>ZERO boosted posts on both client handles. Every rival is already paying.</t>
        </is>
      </c>
    </row>
    <row r="20">
      <c r="A20" s="5" t="inlineStr">
        <is>
          <t>Creators collaborated with</t>
        </is>
      </c>
      <c r="B20" s="5" t="n">
        <v>123</v>
      </c>
      <c r="C20" s="5" t="n">
        <v>144</v>
      </c>
      <c r="D20" s="5" t="inlineStr">
        <is>
          <t>Nexus 78 / Phoenix Avenue of Stars 54</t>
        </is>
      </c>
      <c r="E20" s="6" t="inlineStr">
        <is>
          <t>Lake Shore has the deepest creator bench — but none are whitelisted for Partnership Ads.</t>
        </is>
      </c>
    </row>
    <row r="21">
      <c r="A21" s="7" t="inlineStr">
        <is>
          <t>Live competitor ads in market</t>
        </is>
      </c>
      <c r="B21" s="7" t="n">
        <v>57</v>
      </c>
      <c r="C21" s="7" t="inlineStr">
        <is>
          <t>—</t>
        </is>
      </c>
      <c r="D21" s="7" t="inlineStr">
        <is>
          <t>Phoenix Millennium 56 / Pavillion 48</t>
        </is>
      </c>
      <c r="E21" s="8" t="inlineStr">
        <is>
          <t>425 ads scraped; 369 still live. Auction is crowded but hook-lazy (91% 'Learn More').</t>
        </is>
      </c>
    </row>
    <row r="23" ht="22" customHeight="1">
      <c r="A23" s="3" t="inlineStr">
        <is>
          <t>VISUALS  (rating drift • friction stack • dayparting • ad longevity)</t>
        </is>
      </c>
    </row>
    <row r="25">
      <c r="T25" t="inlineStr">
        <is>
          <t>Mall</t>
        </is>
      </c>
      <c r="U25" t="inlineStr">
        <is>
          <t>2023</t>
        </is>
      </c>
      <c r="V25" t="inlineStr">
        <is>
          <t>2024</t>
        </is>
      </c>
      <c r="W25" t="inlineStr">
        <is>
          <t>2025</t>
        </is>
      </c>
      <c r="X25" t="inlineStr">
        <is>
          <t>2026</t>
        </is>
      </c>
    </row>
    <row r="26">
      <c r="T26" t="inlineStr">
        <is>
          <t>KOPA Mall, Pune</t>
        </is>
      </c>
      <c r="V26" t="n">
        <v>4.36</v>
      </c>
      <c r="W26" t="n">
        <v>4.45</v>
      </c>
      <c r="X26" t="n">
        <v>4.44</v>
      </c>
    </row>
    <row r="27">
      <c r="T27" t="inlineStr">
        <is>
          <t>Lulu Mall Hyderabad (Y Junction)</t>
        </is>
      </c>
      <c r="W27" t="n">
        <v>4.26</v>
      </c>
      <c r="X27" t="n">
        <v>4.18</v>
      </c>
    </row>
    <row r="28">
      <c r="T28" t="inlineStr">
        <is>
          <t>Manjeera Trinity Mall (Y Junction)</t>
        </is>
      </c>
      <c r="U28" t="n">
        <v>3.93</v>
      </c>
      <c r="V28" t="n">
        <v>4.12</v>
      </c>
      <c r="W28" t="n">
        <v>4.15</v>
      </c>
      <c r="X28" t="n">
        <v>4.2</v>
      </c>
    </row>
    <row r="29">
      <c r="T29" t="inlineStr">
        <is>
          <t>Phoenix Avenue of Stars</t>
        </is>
      </c>
      <c r="U29" t="n">
        <v>4.69</v>
      </c>
      <c r="V29" t="n">
        <v>4.56</v>
      </c>
      <c r="W29" t="n">
        <v>4.47</v>
      </c>
      <c r="X29" t="n">
        <v>3.92</v>
      </c>
    </row>
    <row r="30">
      <c r="T30" t="inlineStr">
        <is>
          <t>The Pavillion Pune</t>
        </is>
      </c>
      <c r="W30" t="n">
        <v>4.53</v>
      </c>
      <c r="X30" t="n">
        <v>4.52</v>
      </c>
    </row>
    <row r="31">
      <c r="T31" t="inlineStr">
        <is>
          <t>Nexus Hyderabad Mall (Forum Sujana)</t>
        </is>
      </c>
      <c r="W31" t="n">
        <v>4.39</v>
      </c>
      <c r="X31" t="n">
        <v>4.42</v>
      </c>
    </row>
    <row r="32">
      <c r="T32" t="inlineStr">
        <is>
          <t>Sarath City Capital Mall</t>
        </is>
      </c>
      <c r="X32" t="n">
        <v>4.39</v>
      </c>
    </row>
    <row r="33">
      <c r="T33" t="inlineStr">
        <is>
          <t>Inorbit Mall Cyberabad</t>
        </is>
      </c>
      <c r="X33" t="n">
        <v>4.47</v>
      </c>
    </row>
    <row r="38">
      <c r="T38" t="inlineStr">
        <is>
          <t>Mall</t>
        </is>
      </c>
      <c r="U38" t="inlineStr">
        <is>
          <t>Parking</t>
        </is>
      </c>
      <c r="V38" t="inlineStr">
        <is>
          <t>Overcrowding</t>
        </is>
      </c>
      <c r="W38" t="inlineStr">
        <is>
          <t>Dining Wait</t>
        </is>
      </c>
      <c r="X38" t="inlineStr">
        <is>
          <t>Washroom Hygiene</t>
        </is>
      </c>
      <c r="Y38" t="inlineStr">
        <is>
          <t>Staff</t>
        </is>
      </c>
    </row>
    <row r="39">
      <c r="T39" t="inlineStr">
        <is>
          <t>KOPA Mall, Pune</t>
        </is>
      </c>
      <c r="U39" t="n">
        <v>18</v>
      </c>
      <c r="V39" t="n">
        <v>8</v>
      </c>
      <c r="W39" t="n">
        <v>16</v>
      </c>
      <c r="X39" t="n">
        <v>6</v>
      </c>
      <c r="Y39" t="n">
        <v>12</v>
      </c>
    </row>
    <row r="40">
      <c r="T40" t="inlineStr">
        <is>
          <t>Phoenix Avenue of Stars</t>
        </is>
      </c>
      <c r="U40" t="n">
        <v>62</v>
      </c>
      <c r="V40" t="n">
        <v>16</v>
      </c>
      <c r="W40" t="n">
        <v>18</v>
      </c>
      <c r="X40" t="n">
        <v>14</v>
      </c>
      <c r="Y40" t="n">
        <v>32</v>
      </c>
    </row>
    <row r="41">
      <c r="T41" t="inlineStr">
        <is>
          <t>The Pavillion Pune</t>
        </is>
      </c>
      <c r="U41" t="n">
        <v>12</v>
      </c>
      <c r="V41" t="n">
        <v>1</v>
      </c>
      <c r="W41" t="n">
        <v>17</v>
      </c>
      <c r="X41" t="n">
        <v>5</v>
      </c>
      <c r="Y41" t="n">
        <v>32</v>
      </c>
    </row>
    <row r="42">
      <c r="T42" t="inlineStr">
        <is>
          <t>Amanora Mall</t>
        </is>
      </c>
      <c r="U42" t="n">
        <v>14</v>
      </c>
      <c r="V42" t="n">
        <v>3</v>
      </c>
      <c r="W42" t="n">
        <v>0</v>
      </c>
      <c r="X42" t="n">
        <v>0</v>
      </c>
      <c r="Y42" t="n">
        <v>7</v>
      </c>
    </row>
    <row r="43">
      <c r="T43" t="inlineStr">
        <is>
          <t>Seasons Mall</t>
        </is>
      </c>
      <c r="U43" t="n">
        <v>3</v>
      </c>
      <c r="V43" t="n">
        <v>1</v>
      </c>
      <c r="W43" t="n">
        <v>3</v>
      </c>
      <c r="X43" t="n">
        <v>0</v>
      </c>
      <c r="Y43" t="n">
        <v>12</v>
      </c>
    </row>
    <row r="44">
      <c r="T44" t="inlineStr">
        <is>
          <t>Lulu Mall Hyderabad</t>
        </is>
      </c>
      <c r="U44" t="n">
        <v>16</v>
      </c>
      <c r="V44" t="n">
        <v>25</v>
      </c>
      <c r="W44" t="n">
        <v>24</v>
      </c>
      <c r="X44" t="n">
        <v>26</v>
      </c>
      <c r="Y44" t="n">
        <v>43</v>
      </c>
    </row>
    <row r="45">
      <c r="T45" t="inlineStr">
        <is>
          <t>Nexus Hyderabad Mall</t>
        </is>
      </c>
      <c r="U45" t="n">
        <v>11</v>
      </c>
      <c r="V45" t="n">
        <v>5</v>
      </c>
      <c r="W45" t="n">
        <v>10</v>
      </c>
      <c r="X45" t="n">
        <v>10</v>
      </c>
      <c r="Y45" t="n">
        <v>9</v>
      </c>
    </row>
    <row r="46">
      <c r="T46" t="inlineStr">
        <is>
          <t>Sarath City Capital Mall</t>
        </is>
      </c>
      <c r="U46" t="n">
        <v>43</v>
      </c>
      <c r="V46" t="n">
        <v>19</v>
      </c>
      <c r="W46" t="n">
        <v>16</v>
      </c>
      <c r="X46" t="n">
        <v>14</v>
      </c>
      <c r="Y46" t="n">
        <v>18</v>
      </c>
    </row>
    <row r="47">
      <c r="T47" t="inlineStr">
        <is>
          <t>Inorbit Mall Cyberabad</t>
        </is>
      </c>
      <c r="U47" t="n">
        <v>9</v>
      </c>
      <c r="V47" t="n">
        <v>4</v>
      </c>
      <c r="W47" t="n">
        <v>10</v>
      </c>
      <c r="X47" t="n">
        <v>4</v>
      </c>
      <c r="Y47" t="n">
        <v>18</v>
      </c>
    </row>
    <row r="48">
      <c r="T48" t="inlineStr">
        <is>
          <t>GVK One Mall</t>
        </is>
      </c>
      <c r="U48" t="n">
        <v>13</v>
      </c>
      <c r="V48" t="n">
        <v>3</v>
      </c>
      <c r="W48" t="n">
        <v>15</v>
      </c>
      <c r="X48" t="n">
        <v>10</v>
      </c>
      <c r="Y48" t="n">
        <v>15</v>
      </c>
    </row>
    <row r="53">
      <c r="T53" t="inlineStr">
        <is>
          <t>Day</t>
        </is>
      </c>
      <c r="U53" t="inlineStr">
        <is>
          <t>KOPA views</t>
        </is>
      </c>
      <c r="V53" t="inlineStr">
        <is>
          <t>Y Junction views</t>
        </is>
      </c>
      <c r="W53" t="inlineStr">
        <is>
          <t>Competitor average views</t>
        </is>
      </c>
    </row>
    <row r="54">
      <c r="T54" t="inlineStr">
        <is>
          <t>Mon</t>
        </is>
      </c>
      <c r="U54" t="n">
        <v>16546590</v>
      </c>
      <c r="V54" t="n">
        <v>5304668</v>
      </c>
      <c r="W54" t="n">
        <v>18134763</v>
      </c>
    </row>
    <row r="55">
      <c r="T55" t="inlineStr">
        <is>
          <t>Tue</t>
        </is>
      </c>
      <c r="U55" t="n">
        <v>26911072</v>
      </c>
      <c r="V55" t="n">
        <v>9575905</v>
      </c>
      <c r="W55" t="n">
        <v>24096865</v>
      </c>
    </row>
    <row r="56">
      <c r="T56" t="inlineStr">
        <is>
          <t>Wed</t>
        </is>
      </c>
      <c r="U56" t="n">
        <v>10089527</v>
      </c>
      <c r="V56" t="n">
        <v>9308488</v>
      </c>
      <c r="W56" t="n">
        <v>18637123</v>
      </c>
    </row>
    <row r="57">
      <c r="T57" t="inlineStr">
        <is>
          <t>Thu</t>
        </is>
      </c>
      <c r="U57" t="n">
        <v>15356163</v>
      </c>
      <c r="V57" t="n">
        <v>5863054</v>
      </c>
      <c r="W57" t="n">
        <v>10363957</v>
      </c>
    </row>
    <row r="58">
      <c r="T58" t="inlineStr">
        <is>
          <t>Fri</t>
        </is>
      </c>
      <c r="U58" t="n">
        <v>24720727</v>
      </c>
      <c r="V58" t="n">
        <v>48709958</v>
      </c>
      <c r="W58" t="n">
        <v>23991577</v>
      </c>
    </row>
    <row r="59">
      <c r="T59" t="inlineStr">
        <is>
          <t>Sat</t>
        </is>
      </c>
      <c r="U59" t="n">
        <v>34272712</v>
      </c>
      <c r="V59" t="n">
        <v>15169379</v>
      </c>
      <c r="W59" t="n">
        <v>12259369</v>
      </c>
    </row>
    <row r="60">
      <c r="T60" t="inlineStr">
        <is>
          <t>Sun</t>
        </is>
      </c>
      <c r="U60" t="n">
        <v>7566255</v>
      </c>
      <c r="V60" t="n">
        <v>6903911</v>
      </c>
      <c r="W60" t="n">
        <v>5427964</v>
      </c>
    </row>
    <row r="61" ht="28" customHeight="1">
      <c r="A61" s="9" t="inlineStr">
        <is>
          <t>HONESTY NOTE — Everything in columns marked [FROM THE DATA] is computed from the five scraped files. Rows marked [PLANNING] are media-buying constructs (budget splits, Cost per 1,000 impressions/Cost per Click benchmarks, ad scripts, URL tracking tags) built ON TOP of that data — they are professional assumptions to be replaced with your own Ads Manager actuals at go-live. Six competitor lat/longs were not present in the scrape; those rows carry the Google Place ID instead of an invented coordinate.</t>
        </is>
      </c>
    </row>
    <row r="65">
      <c r="T65" t="inlineStr">
        <is>
          <t>Tier</t>
        </is>
      </c>
      <c r="U65" t="inlineStr">
        <is>
          <t>Ads</t>
        </is>
      </c>
    </row>
    <row r="66">
      <c r="T66" t="inlineStr">
        <is>
          <t>Fresh Test (&lt;30d)</t>
        </is>
      </c>
      <c r="U66" t="n">
        <v>264</v>
      </c>
    </row>
    <row r="67">
      <c r="T67" t="inlineStr">
        <is>
          <t>Evergreen Winner (90d+)</t>
        </is>
      </c>
      <c r="U67" t="n">
        <v>51</v>
      </c>
    </row>
    <row r="68">
      <c r="T68" t="inlineStr">
        <is>
          <t>Unknown</t>
        </is>
      </c>
      <c r="U68" t="n">
        <v>50</v>
      </c>
    </row>
    <row r="69">
      <c r="T69" t="inlineStr">
        <is>
          <t>Mid Flight (30-59d)</t>
        </is>
      </c>
      <c r="U69" t="n">
        <v>41</v>
      </c>
    </row>
    <row r="70">
      <c r="T70" t="inlineStr">
        <is>
          <t>Proven Scaler (60-89d)</t>
        </is>
      </c>
      <c r="U70" t="n">
        <v>19</v>
      </c>
    </row>
  </sheetData>
  <mergeCells count="6">
    <mergeCell ref="A2:L2"/>
    <mergeCell ref="A1:L1"/>
    <mergeCell ref="A23:L23"/>
    <mergeCell ref="A61:L61"/>
    <mergeCell ref="A12:L12"/>
    <mergeCell ref="A4:L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F6E6E"/>
    <outlinePr summaryBelow="1" summaryRight="1"/>
    <pageSetUpPr/>
  </sheetPr>
  <dimension ref="A1:M28"/>
  <sheetViews>
    <sheetView workbookViewId="0">
      <selection activeCell="A1" sqref="A1"/>
    </sheetView>
  </sheetViews>
  <sheetFormatPr baseColWidth="8" defaultRowHeight="15"/>
  <cols>
    <col width="12" customWidth="1" min="1" max="1"/>
    <col width="10" customWidth="1" min="2" max="2"/>
    <col width="26" customWidth="1" min="3" max="3"/>
    <col width="44" customWidth="1" min="4" max="4"/>
    <col width="22" customWidth="1" min="5" max="5"/>
    <col width="22" customWidth="1" min="6" max="6"/>
    <col width="30" customWidth="1" min="7" max="7"/>
    <col width="24" customWidth="1" min="8" max="8"/>
    <col width="22" customWidth="1" min="9" max="9"/>
    <col width="26" customWidth="1" min="10" max="10"/>
    <col width="22" customWidth="1" min="11" max="11"/>
    <col width="42" customWidth="1" min="12" max="12"/>
    <col width="68" customWidth="1" min="13" max="13"/>
  </cols>
  <sheetData>
    <row r="1" ht="30" customHeight="1">
      <c r="A1" s="10" t="inlineStr">
        <is>
          <t>1 · CAMPAIGN ARCHITECTURE — FULL-FUNNEL TAXONOMY, OBJECTIVES, BIDDING &amp; DAYPARTING</t>
        </is>
      </c>
    </row>
    <row r="2" ht="20" customHeight="1">
      <c r="A2" s="2" t="inlineStr">
        <is>
          <t>Dayparting windows are derived from real day-of-week reach velocity in the 4,133-post Instagram audit. Taxonomy is fixed-width and machine-parseable.</t>
        </is>
      </c>
    </row>
    <row r="4" ht="34" customHeight="1">
      <c r="A4" s="4" t="inlineStr">
        <is>
          <t>Asset</t>
        </is>
      </c>
      <c r="B4" s="4" t="inlineStr">
        <is>
          <t>Platform</t>
        </is>
      </c>
      <c r="C4" s="4" t="inlineStr">
        <is>
          <t>Funnel</t>
        </is>
      </c>
      <c r="D4" s="4" t="inlineStr">
        <is>
          <t>Campaign Name (paste-ready)</t>
        </is>
      </c>
      <c r="E4" s="4" t="inlineStr">
        <is>
          <t>Objective</t>
        </is>
      </c>
      <c r="F4" s="4" t="inlineStr">
        <is>
          <t>Optimisation Event</t>
        </is>
      </c>
      <c r="G4" s="4" t="inlineStr">
        <is>
          <t>Bid Strategy</t>
        </is>
      </c>
      <c r="H4" s="4" t="inlineStr">
        <is>
          <t>Placements</t>
        </is>
      </c>
      <c r="I4" s="4" t="inlineStr">
        <is>
          <t>Dayparting Window</t>
        </is>
      </c>
      <c r="J4" s="4" t="inlineStr">
        <is>
          <t>Audience Ref (Tab 2)</t>
        </is>
      </c>
      <c r="K4" s="4" t="inlineStr">
        <is>
          <t>Creative Ref (Tab 3)</t>
        </is>
      </c>
      <c r="L4" s="4" t="inlineStr">
        <is>
          <t>Primary KPI / Guardrail</t>
        </is>
      </c>
      <c r="M4" s="4" t="inlineStr">
        <is>
          <t>Evidence from the datasets</t>
        </is>
      </c>
    </row>
    <row r="5">
      <c r="A5" s="5" t="inlineStr">
        <is>
          <t>KOPA</t>
        </is>
      </c>
      <c r="B5" s="5" t="inlineStr">
        <is>
          <t>META</t>
        </is>
      </c>
      <c r="C5" s="6" t="inlineStr">
        <is>
          <t>Top of Funnel (Awareness)</t>
        </is>
      </c>
      <c r="D5" s="11" t="inlineStr">
        <is>
          <t>LS_KOPA_META_TOF_QUIETLUXURY_KP-ANNEXE</t>
        </is>
      </c>
      <c r="E5" s="6" t="inlineStr">
        <is>
          <t>Reach / Video Views</t>
        </is>
      </c>
      <c r="F5" s="6" t="inlineStr">
        <is>
          <t>ThruPlay</t>
        </is>
      </c>
      <c r="G5" s="6" t="inlineStr">
        <is>
          <t>Highest Volume (no cap)</t>
        </is>
      </c>
      <c r="H5" s="6" t="inlineStr">
        <is>
          <t>Reels, Stories, Feed, Explore</t>
        </is>
      </c>
      <c r="I5" s="5" t="inlineStr">
        <is>
          <t>Thu 15:00 – Sun 23:00</t>
        </is>
      </c>
      <c r="J5" s="6" t="inlineStr">
        <is>
          <t>T2-A1 Koregaon Park 3km</t>
        </is>
      </c>
      <c r="K5" s="5" t="inlineStr">
        <is>
          <t>C-01 / C-02</t>
        </is>
      </c>
      <c r="L5" s="6" t="inlineStr">
        <is>
          <t>Cost per 1,000 impressions under ₹115; at least 28% watch past 3 seconds</t>
        </is>
      </c>
      <c r="M5" s="6" t="inlineStr">
        <is>
          <t>KOPA Sat = 34.2M views, Fri 24.7M — the two heaviest reach days in the audit</t>
        </is>
      </c>
    </row>
    <row r="6">
      <c r="A6" s="7" t="inlineStr">
        <is>
          <t>KOPA</t>
        </is>
      </c>
      <c r="B6" s="7" t="inlineStr">
        <is>
          <t>META</t>
        </is>
      </c>
      <c r="C6" s="8" t="inlineStr">
        <is>
          <t>Top of Funnel (Awareness)</t>
        </is>
      </c>
      <c r="D6" s="12" t="inlineStr">
        <is>
          <t>LS_KOPA_META_TOF_FOODIE_PUNE-EAST</t>
        </is>
      </c>
      <c r="E6" s="8" t="inlineStr">
        <is>
          <t>Video Views</t>
        </is>
      </c>
      <c r="F6" s="8" t="inlineStr">
        <is>
          <t>ThruPlay</t>
        </is>
      </c>
      <c r="G6" s="8" t="inlineStr">
        <is>
          <t>Highest Volume</t>
        </is>
      </c>
      <c r="H6" s="8" t="inlineStr">
        <is>
          <t>Reels, Explore</t>
        </is>
      </c>
      <c r="I6" s="7" t="inlineStr">
        <is>
          <t>Wed 18:00 – Sun 23:00</t>
        </is>
      </c>
      <c r="J6" s="8" t="inlineStr">
        <is>
          <t>T2-A2 Pune East foodie 8km</t>
        </is>
      </c>
      <c r="K6" s="7" t="inlineStr">
        <is>
          <t>C-03 / C-04</t>
        </is>
      </c>
      <c r="L6" s="8" t="inlineStr">
        <is>
          <t>At least 32% of people who see it watch past the first 3 seconds</t>
        </is>
      </c>
      <c r="M6" s="8" t="inlineStr">
        <is>
          <t>Dining wait is the #2 friction cluster at KOPA (16 mentions) and #1 at Pavillion (17)</t>
        </is>
      </c>
    </row>
    <row r="7">
      <c r="A7" s="5" t="inlineStr">
        <is>
          <t>KOPA</t>
        </is>
      </c>
      <c r="B7" s="5" t="inlineStr">
        <is>
          <t>META</t>
        </is>
      </c>
      <c r="C7" s="6" t="inlineStr">
        <is>
          <t>Middle of Funnel (Consideration)</t>
        </is>
      </c>
      <c r="D7" s="11" t="inlineStr">
        <is>
          <t>LS_KOPA_META_MOF_CONQUEST_PHOENIX-AOS</t>
        </is>
      </c>
      <c r="E7" s="6" t="inlineStr">
        <is>
          <t>Traffic / Engagement</t>
        </is>
      </c>
      <c r="F7" s="6" t="inlineStr">
        <is>
          <t>Landing Page Views</t>
        </is>
      </c>
      <c r="G7" s="6" t="inlineStr">
        <is>
          <t>Cost Cap ₹18 per Landing Page View</t>
        </is>
      </c>
      <c r="H7" s="6" t="inlineStr">
        <is>
          <t>Reels, Feed</t>
        </is>
      </c>
      <c r="I7" s="5" t="inlineStr">
        <is>
          <t>Fri 12:00 – Sun 22:00</t>
        </is>
      </c>
      <c r="J7" s="6" t="inlineStr">
        <is>
          <t>T2-G1 Phoenix Avenue of Stars 3km ring</t>
        </is>
      </c>
      <c r="K7" s="5" t="inlineStr">
        <is>
          <t>C-05 Parking counter-hook</t>
        </is>
      </c>
      <c r="L7" s="6" t="inlineStr">
        <is>
          <t>Cost per landing page view under ₹18; click-through rate at least 1.4%</t>
        </is>
      </c>
      <c r="M7" s="6" t="inlineStr">
        <is>
          <t>Phoenix Avenue of Stars carries 62 parking complaints in 1-star and 2-star — the largest single friction pool in Pune</t>
        </is>
      </c>
    </row>
    <row r="8">
      <c r="A8" s="7" t="inlineStr">
        <is>
          <t>KOPA</t>
        </is>
      </c>
      <c r="B8" s="7" t="inlineStr">
        <is>
          <t>META</t>
        </is>
      </c>
      <c r="C8" s="8" t="inlineStr">
        <is>
          <t>Middle of Funnel (Consideration)</t>
        </is>
      </c>
      <c r="D8" s="12" t="inlineStr">
        <is>
          <t>LS_KOPA_META_MOF_CONQUEST_AMANORA-SEASONS</t>
        </is>
      </c>
      <c r="E8" s="8" t="inlineStr">
        <is>
          <t>Traffic</t>
        </is>
      </c>
      <c r="F8" s="8" t="inlineStr">
        <is>
          <t>Landing Page Views</t>
        </is>
      </c>
      <c r="G8" s="8" t="inlineStr">
        <is>
          <t>Cost Cap ₹18 per Landing Page View</t>
        </is>
      </c>
      <c r="H8" s="8" t="inlineStr">
        <is>
          <t>Reels, Feed, Stories</t>
        </is>
      </c>
      <c r="I8" s="7" t="inlineStr">
        <is>
          <t>Thu 17:00 – Sun 22:00</t>
        </is>
      </c>
      <c r="J8" s="8" t="inlineStr">
        <is>
          <t>T2-G2 Hadapsar/Magarpatta ring</t>
        </is>
      </c>
      <c r="K8" s="7" t="inlineStr">
        <is>
          <t>C-06 / C-07</t>
        </is>
      </c>
      <c r="L8" s="8" t="inlineStr">
        <is>
          <t>Cost per landing page view under ₹18; click-through rate at least 1.3%</t>
        </is>
      </c>
      <c r="M8" s="8" t="inlineStr">
        <is>
          <t>Amanora + Seasons both sit on 1,600 and 1,100 reviews with weak dining depth</t>
        </is>
      </c>
    </row>
    <row r="9">
      <c r="A9" s="5" t="inlineStr">
        <is>
          <t>KOPA</t>
        </is>
      </c>
      <c r="B9" s="5" t="inlineStr">
        <is>
          <t>META</t>
        </is>
      </c>
      <c r="C9" s="6" t="inlineStr">
        <is>
          <t>Middle of Funnel (Consideration)</t>
        </is>
      </c>
      <c r="D9" s="11" t="inlineStr">
        <is>
          <t>LS_KOPA_META_MOF_PARTNERSHIP_CREATORWL</t>
        </is>
      </c>
      <c r="E9" s="6" t="inlineStr">
        <is>
          <t>Engagement</t>
        </is>
      </c>
      <c r="F9" s="6" t="inlineStr">
        <is>
          <t>Post Engagement</t>
        </is>
      </c>
      <c r="G9" s="6" t="inlineStr">
        <is>
          <t>Highest Volume</t>
        </is>
      </c>
      <c r="H9" s="6" t="inlineStr">
        <is>
          <t>Reels only</t>
        </is>
      </c>
      <c r="I9" s="5" t="inlineStr">
        <is>
          <t>Thu 15:00 – Sun 23:00</t>
        </is>
      </c>
      <c r="J9" s="6" t="inlineStr">
        <is>
          <t>T2-A1 plus T2-L1 Lookalike 1%</t>
        </is>
      </c>
      <c r="K9" s="5" t="inlineStr">
        <is>
          <t>Tab 4 whitelisted handles</t>
        </is>
      </c>
      <c r="L9" s="6" t="inlineStr">
        <is>
          <t>Cost per engagement under ₹2.50; saves and shares at least 3% of people reached</t>
        </is>
      </c>
      <c r="M9" s="6" t="inlineStr">
        <is>
          <t>KOPA has 123 collaborating creators and ZERO boosted posts — untapped Partnership Ads inventory</t>
        </is>
      </c>
    </row>
    <row r="10">
      <c r="A10" s="7" t="inlineStr">
        <is>
          <t>KOPA</t>
        </is>
      </c>
      <c r="B10" s="7" t="inlineStr">
        <is>
          <t>META</t>
        </is>
      </c>
      <c r="C10" s="8" t="inlineStr">
        <is>
          <t>Bottom of Funnel (Action)</t>
        </is>
      </c>
      <c r="D10" s="12" t="inlineStr">
        <is>
          <t>LS_KOPA_META_BOF_STORELOCATOR_RETARGET</t>
        </is>
      </c>
      <c r="E10" s="8" t="inlineStr">
        <is>
          <t>Store Traffic</t>
        </is>
      </c>
      <c r="F10" s="8" t="inlineStr">
        <is>
          <t>Store Visits / Directions</t>
        </is>
      </c>
      <c r="G10" s="8" t="inlineStr">
        <is>
          <t>Cost Cap ₹45 per Directions Click</t>
        </is>
      </c>
      <c r="H10" s="8" t="inlineStr">
        <is>
          <t>Feed, Reels, Stories, Audience Network</t>
        </is>
      </c>
      <c r="I10" s="7" t="inlineStr">
        <is>
          <t>Fri 11:00 – Sun 21:00</t>
        </is>
      </c>
      <c r="J10" s="8" t="inlineStr">
        <is>
          <t>T2-R1 all engagers from the last 180 days</t>
        </is>
      </c>
      <c r="K10" s="7" t="inlineStr">
        <is>
          <t>C-12 Directions card</t>
        </is>
      </c>
      <c r="L10" s="8" t="inlineStr">
        <is>
          <t>Cost per directions click under ₹45; show no more than 3 times per person per week</t>
        </is>
      </c>
      <c r="M10" s="8" t="inlineStr">
        <is>
          <t>Cost per Direction Click is the only true offline-proxy KPI for a mall</t>
        </is>
      </c>
    </row>
    <row r="11">
      <c r="A11" s="5" t="inlineStr">
        <is>
          <t>KOPA</t>
        </is>
      </c>
      <c r="B11" s="5" t="inlineStr">
        <is>
          <t>META</t>
        </is>
      </c>
      <c r="C11" s="6" t="inlineStr">
        <is>
          <t>Bottom of Funnel (Action)</t>
        </is>
      </c>
      <c r="D11" s="11" t="inlineStr">
        <is>
          <t>LS_KOPA_META_BOF_VALETQR_CAPI</t>
        </is>
      </c>
      <c r="E11" s="6" t="inlineStr">
        <is>
          <t>Conversions (Offline)</t>
        </is>
      </c>
      <c r="F11" s="6" t="inlineStr">
        <is>
          <t>Offline Conversion — Valet QR code</t>
        </is>
      </c>
      <c r="G11" s="6" t="inlineStr">
        <is>
          <t>Cost Cap ₹90 per Lead</t>
        </is>
      </c>
      <c r="H11" s="6" t="inlineStr">
        <is>
          <t>Feed, Reels</t>
        </is>
      </c>
      <c r="I11" s="5" t="inlineStr">
        <is>
          <t>Fri 16:00 – Sun 23:00</t>
        </is>
      </c>
      <c r="J11" s="6" t="inlineStr">
        <is>
          <t>T2-R2 website visitors + valet customer database</t>
        </is>
      </c>
      <c r="K11" s="5" t="inlineStr">
        <is>
          <t>C-13 Valet voucher</t>
        </is>
      </c>
      <c r="L11" s="6" t="inlineStr">
        <is>
          <t>Cost per lead under ₹90; at least 35% of people who scan the code actually arrive</t>
        </is>
      </c>
      <c r="M11" s="6" t="inlineStr">
        <is>
          <t>Parking is the #1 KOPA 1-star and 2-star cluster (18) — turn the objection into the offer</t>
        </is>
      </c>
    </row>
    <row r="12">
      <c r="A12" s="7" t="inlineStr">
        <is>
          <t>KOPA</t>
        </is>
      </c>
      <c r="B12" s="7" t="inlineStr">
        <is>
          <t>GOOGLE</t>
        </is>
      </c>
      <c r="C12" s="8" t="inlineStr">
        <is>
          <t>Top of Funnel (Awareness)</t>
        </is>
      </c>
      <c r="D12" s="12" t="inlineStr">
        <is>
          <t>LS_KOPA_GADS_TOF_PMAX_LOCALFEED</t>
        </is>
      </c>
      <c r="E12" s="8" t="inlineStr">
        <is>
          <t>Performance Max — Store Goals</t>
        </is>
      </c>
      <c r="F12" s="8" t="inlineStr">
        <is>
          <t>Store Visits</t>
        </is>
      </c>
      <c r="G12" s="8" t="inlineStr">
        <is>
          <t>Maximise Conversion Value</t>
        </is>
      </c>
      <c r="H12" s="8" t="inlineStr">
        <is>
          <t>YouTube, Discover, Maps, Search</t>
        </is>
      </c>
      <c r="I12" s="7" t="inlineStr">
        <is>
          <t>Always-on, 07:00–23:00</t>
        </is>
      </c>
      <c r="J12" s="8" t="inlineStr">
        <is>
          <t>Feed: KOPA store list</t>
        </is>
      </c>
      <c r="K12" s="7" t="inlineStr">
        <is>
          <t>YouTube 4K walkthrough cut-downs</t>
        </is>
      </c>
      <c r="L12" s="8" t="inlineStr">
        <is>
          <t>Cost per store visit under ₹55; asset group strength rated Good or better</t>
        </is>
      </c>
      <c r="M12" s="8" t="inlineStr">
        <is>
          <t>4K walkthroughs = 38 of 179 videos scraped, the highest-view archetype family</t>
        </is>
      </c>
    </row>
    <row r="13">
      <c r="A13" s="5" t="inlineStr">
        <is>
          <t>KOPA</t>
        </is>
      </c>
      <c r="B13" s="5" t="inlineStr">
        <is>
          <t>GOOGLE</t>
        </is>
      </c>
      <c r="C13" s="6" t="inlineStr">
        <is>
          <t>Middle of Funnel (Consideration)</t>
        </is>
      </c>
      <c r="D13" s="11" t="inlineStr">
        <is>
          <t>LS_KOPA_GADS_MOF_SEARCH_CONQUEST-BRAND</t>
        </is>
      </c>
      <c r="E13" s="6" t="inlineStr">
        <is>
          <t>Search</t>
        </is>
      </c>
      <c r="F13" s="6" t="inlineStr">
        <is>
          <t>Clicks → Directions</t>
        </is>
      </c>
      <c r="G13" s="6" t="inlineStr">
        <is>
          <t>Manual Cost per Click ₹9-14</t>
        </is>
      </c>
      <c r="H13" s="6" t="inlineStr">
        <is>
          <t>Search</t>
        </is>
      </c>
      <c r="I13" s="5" t="inlineStr">
        <is>
          <t>Thu–Sun 10:00–22:00</t>
        </is>
      </c>
      <c r="J13" s="6" t="inlineStr">
        <is>
          <t>Competitor brand + 'mall near me'</t>
        </is>
      </c>
      <c r="K13" s="5" t="inlineStr">
        <is>
          <t>Responsive Search Ad set A</t>
        </is>
      </c>
      <c r="L13" s="6" t="inlineStr">
        <is>
          <t>Cost per click under ₹14; at least 40% impression share on competitor brand terms</t>
        </is>
      </c>
      <c r="M13" s="6" t="inlineStr">
        <is>
          <t>Phoenix / Amanora / Seasons brand terms are unowned by KOPA today</t>
        </is>
      </c>
    </row>
    <row r="14">
      <c r="A14" s="7" t="inlineStr">
        <is>
          <t>KOPA</t>
        </is>
      </c>
      <c r="B14" s="7" t="inlineStr">
        <is>
          <t>GOOGLE</t>
        </is>
      </c>
      <c r="C14" s="8" t="inlineStr">
        <is>
          <t>Bottom of Funnel (Action)</t>
        </is>
      </c>
      <c r="D14" s="12" t="inlineStr">
        <is>
          <t>LS_KOPA_GADS_BOF_YTSHORTS_RETARGET</t>
        </is>
      </c>
      <c r="E14" s="8" t="inlineStr">
        <is>
          <t>Video Action</t>
        </is>
      </c>
      <c r="F14" s="8" t="inlineStr">
        <is>
          <t>Conversions</t>
        </is>
      </c>
      <c r="G14" s="8" t="inlineStr">
        <is>
          <t>Target Cost per Action ₹75</t>
        </is>
      </c>
      <c r="H14" s="8" t="inlineStr">
        <is>
          <t>YouTube Shorts in-feed</t>
        </is>
      </c>
      <c r="I14" s="7" t="inlineStr">
        <is>
          <t>Fri–Sun 15:00–23:00</t>
        </is>
      </c>
      <c r="J14" s="8" t="inlineStr">
        <is>
          <t>YouTube viewers last 30 days + website visitors last 90 days</t>
        </is>
      </c>
      <c r="K14" s="7" t="inlineStr">
        <is>
          <t>YouTube Shorts vertical cut-downs</t>
        </is>
      </c>
      <c r="L14" s="8" t="inlineStr">
        <is>
          <t>Target cost per action under ₹75; video view rate at least 25%</t>
        </is>
      </c>
      <c r="M14" s="8" t="inlineStr">
        <is>
          <t>Only 2 KOPA Shorts exist in a year vs 66 parking-guide videos across rivals</t>
        </is>
      </c>
    </row>
    <row r="15">
      <c r="A15" s="5" t="inlineStr">
        <is>
          <t>YJUNCTION</t>
        </is>
      </c>
      <c r="B15" s="5" t="inlineStr">
        <is>
          <t>META</t>
        </is>
      </c>
      <c r="C15" s="6" t="inlineStr">
        <is>
          <t>Top of Funnel (Awareness)</t>
        </is>
      </c>
      <c r="D15" s="11" t="inlineStr">
        <is>
          <t>LS_YJN_META_TOF_KUKATPALLY-LAUNCHREACH</t>
        </is>
      </c>
      <c r="E15" s="6" t="inlineStr">
        <is>
          <t>Reach / Video Views</t>
        </is>
      </c>
      <c r="F15" s="6" t="inlineStr">
        <is>
          <t>ThruPlay</t>
        </is>
      </c>
      <c r="G15" s="6" t="inlineStr">
        <is>
          <t>Highest Volume</t>
        </is>
      </c>
      <c r="H15" s="6" t="inlineStr">
        <is>
          <t>Reels, Stories, Explore</t>
        </is>
      </c>
      <c r="I15" s="5" t="inlineStr">
        <is>
          <t>Tue 17:00 – Sat 23:00</t>
        </is>
      </c>
      <c r="J15" s="6" t="inlineStr">
        <is>
          <t>T2-A3 Kukatpally Housing Board area 4km</t>
        </is>
      </c>
      <c r="K15" s="5" t="inlineStr">
        <is>
          <t>C-08 / C-09</t>
        </is>
      </c>
      <c r="L15" s="6" t="inlineStr">
        <is>
          <t>Cost per 1,000 impressions under ₹95; at least 30% watch past 3 seconds</t>
        </is>
      </c>
      <c r="M15" s="6" t="inlineStr">
        <is>
          <t>Y Junction Fri = 48.7M views, by far its strongest reach day</t>
        </is>
      </c>
    </row>
    <row r="16">
      <c r="A16" s="7" t="inlineStr">
        <is>
          <t>YJUNCTION</t>
        </is>
      </c>
      <c r="B16" s="7" t="inlineStr">
        <is>
          <t>META</t>
        </is>
      </c>
      <c r="C16" s="8" t="inlineStr">
        <is>
          <t>Top of Funnel (Awareness)</t>
        </is>
      </c>
      <c r="D16" s="12" t="inlineStr">
        <is>
          <t>LS_YJN_META_TOF_HITECCITY-COMMUTER</t>
        </is>
      </c>
      <c r="E16" s="8" t="inlineStr">
        <is>
          <t>Video Views</t>
        </is>
      </c>
      <c r="F16" s="8" t="inlineStr">
        <is>
          <t>ThruPlay</t>
        </is>
      </c>
      <c r="G16" s="8" t="inlineStr">
        <is>
          <t>Highest Volume</t>
        </is>
      </c>
      <c r="H16" s="8" t="inlineStr">
        <is>
          <t>Reels, Feed</t>
        </is>
      </c>
      <c r="I16" s="7" t="inlineStr">
        <is>
          <t>Mon–Fri 18:00–22:00</t>
        </is>
      </c>
      <c r="J16" s="8" t="inlineStr">
        <is>
          <t>T2-A4 Hitec City / Madhapur 6km</t>
        </is>
      </c>
      <c r="K16" s="7" t="inlineStr">
        <is>
          <t>C-10</t>
        </is>
      </c>
      <c r="L16" s="8" t="inlineStr">
        <is>
          <t>Cost per 1,000 impressions under ₹105; at least 30% watch past 3 seconds</t>
        </is>
      </c>
      <c r="M16" s="8" t="inlineStr">
        <is>
          <t>Inorbit Cyberabad averages 866K views/post — the commuter audience is proven to consume</t>
        </is>
      </c>
    </row>
    <row r="17">
      <c r="A17" s="5" t="inlineStr">
        <is>
          <t>YJUNCTION</t>
        </is>
      </c>
      <c r="B17" s="5" t="inlineStr">
        <is>
          <t>META</t>
        </is>
      </c>
      <c r="C17" s="6" t="inlineStr">
        <is>
          <t>Middle of Funnel (Consideration)</t>
        </is>
      </c>
      <c r="D17" s="11" t="inlineStr">
        <is>
          <t>LS_YJN_META_MOF_CONQUEST_LULU</t>
        </is>
      </c>
      <c r="E17" s="6" t="inlineStr">
        <is>
          <t>Traffic / Engagement</t>
        </is>
      </c>
      <c r="F17" s="6" t="inlineStr">
        <is>
          <t>Landing Page Views</t>
        </is>
      </c>
      <c r="G17" s="6" t="inlineStr">
        <is>
          <t>Cost Cap ₹16 per Landing Page View</t>
        </is>
      </c>
      <c r="H17" s="6" t="inlineStr">
        <is>
          <t>Reels, Feed</t>
        </is>
      </c>
      <c r="I17" s="5" t="inlineStr">
        <is>
          <t>Thu 16:00 – Sun 22:00</t>
        </is>
      </c>
      <c r="J17" s="6" t="inlineStr">
        <is>
          <t>T2-G3 Lulu Hyd 3km ring</t>
        </is>
      </c>
      <c r="K17" s="5" t="inlineStr">
        <is>
          <t>C-11 Crowd/queue counter-hook</t>
        </is>
      </c>
      <c r="L17" s="6" t="inlineStr">
        <is>
          <t>Cost per landing page view under ₹16; click-through rate at least 1.5%</t>
        </is>
      </c>
      <c r="M17" s="6" t="inlineStr">
        <is>
          <t>Lulu = 9.61% 1-star and 2-star, 43 staff + 26 washroom + 25 crowd complaints. Most vulnerable catchment in Hyderabad</t>
        </is>
      </c>
    </row>
    <row r="18">
      <c r="A18" s="7" t="inlineStr">
        <is>
          <t>YJUNCTION</t>
        </is>
      </c>
      <c r="B18" s="7" t="inlineStr">
        <is>
          <t>META</t>
        </is>
      </c>
      <c r="C18" s="8" t="inlineStr">
        <is>
          <t>Middle of Funnel (Consideration)</t>
        </is>
      </c>
      <c r="D18" s="12" t="inlineStr">
        <is>
          <t>LS_YJN_META_MOF_CONQUEST_MANJEERA</t>
        </is>
      </c>
      <c r="E18" s="8" t="inlineStr">
        <is>
          <t>Traffic</t>
        </is>
      </c>
      <c r="F18" s="8" t="inlineStr">
        <is>
          <t>Landing Page Views</t>
        </is>
      </c>
      <c r="G18" s="8" t="inlineStr">
        <is>
          <t>Cost Cap ₹16 per Landing Page View</t>
        </is>
      </c>
      <c r="H18" s="8" t="inlineStr">
        <is>
          <t>Reels, Feed</t>
        </is>
      </c>
      <c r="I18" s="7" t="inlineStr">
        <is>
          <t>Thu 16:00 – Sun 22:00</t>
        </is>
      </c>
      <c r="J18" s="8" t="inlineStr">
        <is>
          <t>T2-G4 Manjeera Trinity 2km ring</t>
        </is>
      </c>
      <c r="K18" s="7" t="inlineStr">
        <is>
          <t>C-11 variant</t>
        </is>
      </c>
      <c r="L18" s="8" t="inlineStr">
        <is>
          <t>Cost per landing page view under ₹16; click-through rate at least 1.5%</t>
        </is>
      </c>
      <c r="M18" s="8" t="inlineStr">
        <is>
          <t>Manjeera rating 3.97 and 9.80% 1-star and 2-star — literally the weakest-rated mall in the 12-mall set, and it shares the Y-Junction</t>
        </is>
      </c>
    </row>
    <row r="19">
      <c r="A19" s="5" t="inlineStr">
        <is>
          <t>YJUNCTION</t>
        </is>
      </c>
      <c r="B19" s="5" t="inlineStr">
        <is>
          <t>META</t>
        </is>
      </c>
      <c r="C19" s="6" t="inlineStr">
        <is>
          <t>Middle of Funnel (Consideration)</t>
        </is>
      </c>
      <c r="D19" s="11" t="inlineStr">
        <is>
          <t>LS_YJN_META_MOF_PARTNERSHIP_CREATORWL</t>
        </is>
      </c>
      <c r="E19" s="6" t="inlineStr">
        <is>
          <t>Engagement</t>
        </is>
      </c>
      <c r="F19" s="6" t="inlineStr">
        <is>
          <t>Post Engagement</t>
        </is>
      </c>
      <c r="G19" s="6" t="inlineStr">
        <is>
          <t>Highest Volume</t>
        </is>
      </c>
      <c r="H19" s="6" t="inlineStr">
        <is>
          <t>Reels only</t>
        </is>
      </c>
      <c r="I19" s="5" t="inlineStr">
        <is>
          <t>Tue 17:00 – Sat 23:00</t>
        </is>
      </c>
      <c r="J19" s="6" t="inlineStr">
        <is>
          <t>T2-A3 plus Lookalike 1%</t>
        </is>
      </c>
      <c r="K19" s="5" t="inlineStr">
        <is>
          <t>Tab 4 whitelisted handles</t>
        </is>
      </c>
      <c r="L19" s="6" t="inlineStr">
        <is>
          <t>Cost per engagement under ₹2.20; saves and shares at least 3% of people reached</t>
        </is>
      </c>
      <c r="M19" s="6" t="inlineStr">
        <is>
          <t>Y Junction works with 144 creators — more than any rival — but publishes only 135 owned posts a year</t>
        </is>
      </c>
    </row>
    <row r="20">
      <c r="A20" s="7" t="inlineStr">
        <is>
          <t>YJUNCTION</t>
        </is>
      </c>
      <c r="B20" s="7" t="inlineStr">
        <is>
          <t>META</t>
        </is>
      </c>
      <c r="C20" s="8" t="inlineStr">
        <is>
          <t>Bottom of Funnel (Action)</t>
        </is>
      </c>
      <c r="D20" s="12" t="inlineStr">
        <is>
          <t>LS_YJN_META_BOF_STORELOCATOR_RETARGET</t>
        </is>
      </c>
      <c r="E20" s="8" t="inlineStr">
        <is>
          <t>Store Traffic</t>
        </is>
      </c>
      <c r="F20" s="8" t="inlineStr">
        <is>
          <t>Store Visits / Directions</t>
        </is>
      </c>
      <c r="G20" s="8" t="inlineStr">
        <is>
          <t>Cost Cap ₹40 per Directions Click</t>
        </is>
      </c>
      <c r="H20" s="8" t="inlineStr">
        <is>
          <t>Feed, Reels, Stories</t>
        </is>
      </c>
      <c r="I20" s="7" t="inlineStr">
        <is>
          <t>Fri 11:00 – Sun 21:00</t>
        </is>
      </c>
      <c r="J20" s="8" t="inlineStr">
        <is>
          <t>T2-R3 engagers from the last 180 days</t>
        </is>
      </c>
      <c r="K20" s="7" t="inlineStr">
        <is>
          <t>C-12 Directions card</t>
        </is>
      </c>
      <c r="L20" s="8" t="inlineStr">
        <is>
          <t>Cost per directions click under ₹40; show no more than 3 times per person per week</t>
        </is>
      </c>
      <c r="M20" s="8" t="inlineStr">
        <is>
          <t>Direction clicks are the closest measurable proxy to footfall</t>
        </is>
      </c>
    </row>
    <row r="21">
      <c r="A21" s="5" t="inlineStr">
        <is>
          <t>YJUNCTION</t>
        </is>
      </c>
      <c r="B21" s="5" t="inlineStr">
        <is>
          <t>META</t>
        </is>
      </c>
      <c r="C21" s="6" t="inlineStr">
        <is>
          <t>Bottom of Funnel (Action)</t>
        </is>
      </c>
      <c r="D21" s="11" t="inlineStr">
        <is>
          <t>LS_YJN_META_BOF_DINEDEAL_CAPI</t>
        </is>
      </c>
      <c r="E21" s="6" t="inlineStr">
        <is>
          <t>Conversions (Offline)</t>
        </is>
      </c>
      <c r="F21" s="6" t="inlineStr">
        <is>
          <t>Offline — Reservation</t>
        </is>
      </c>
      <c r="G21" s="6" t="inlineStr">
        <is>
          <t>Cost Cap ₹80 per Lead</t>
        </is>
      </c>
      <c r="H21" s="6" t="inlineStr">
        <is>
          <t>Feed, Reels</t>
        </is>
      </c>
      <c r="I21" s="5" t="inlineStr">
        <is>
          <t>Thu 17:00 – Sun 23:00</t>
        </is>
      </c>
      <c r="J21" s="6" t="inlineStr">
        <is>
          <t>T2-R4 Food and Beverage engagers</t>
        </is>
      </c>
      <c r="K21" s="5" t="inlineStr">
        <is>
          <t>C-14 Table-hold offer</t>
        </is>
      </c>
      <c r="L21" s="6" t="inlineStr">
        <is>
          <t>Cost per lead under ₹80; at least 60% of booked tables actually turn up</t>
        </is>
      </c>
      <c r="M21" s="6" t="inlineStr">
        <is>
          <t>78 of 1,524 Instagram comments are dining/booking questions — the single biggest FAQ cluster</t>
        </is>
      </c>
    </row>
    <row r="22">
      <c r="A22" s="7" t="inlineStr">
        <is>
          <t>YJUNCTION</t>
        </is>
      </c>
      <c r="B22" s="7" t="inlineStr">
        <is>
          <t>GOOGLE</t>
        </is>
      </c>
      <c r="C22" s="8" t="inlineStr">
        <is>
          <t>Top of Funnel (Awareness)</t>
        </is>
      </c>
      <c r="D22" s="12" t="inlineStr">
        <is>
          <t>LS_YJN_GADS_TOF_PMAX_LOCALFEED</t>
        </is>
      </c>
      <c r="E22" s="8" t="inlineStr">
        <is>
          <t>Performance Max — Store Goals</t>
        </is>
      </c>
      <c r="F22" s="8" t="inlineStr">
        <is>
          <t>Store Visits</t>
        </is>
      </c>
      <c r="G22" s="8" t="inlineStr">
        <is>
          <t>Maximise Conversion Value</t>
        </is>
      </c>
      <c r="H22" s="8" t="inlineStr">
        <is>
          <t>YouTube, Maps, Search, Discover</t>
        </is>
      </c>
      <c r="I22" s="7" t="inlineStr">
        <is>
          <t>Always-on 07:00–23:00</t>
        </is>
      </c>
      <c r="J22" s="8" t="inlineStr">
        <is>
          <t>Feed: Y Junction store list</t>
        </is>
      </c>
      <c r="K22" s="7" t="inlineStr">
        <is>
          <t>YouTube long-form cut-downs</t>
        </is>
      </c>
      <c r="L22" s="8" t="inlineStr">
        <is>
          <t>Cost per store visit under ₹50</t>
        </is>
      </c>
      <c r="M22" s="8" t="inlineStr">
        <is>
          <t>26 of 26 Y Junction YouTube assets are long-form — zero Shorts inventory</t>
        </is>
      </c>
    </row>
    <row r="23">
      <c r="A23" s="5" t="inlineStr">
        <is>
          <t>YJUNCTION</t>
        </is>
      </c>
      <c r="B23" s="5" t="inlineStr">
        <is>
          <t>GOOGLE</t>
        </is>
      </c>
      <c r="C23" s="6" t="inlineStr">
        <is>
          <t>Middle of Funnel (Consideration)</t>
        </is>
      </c>
      <c r="D23" s="11" t="inlineStr">
        <is>
          <t>LS_YJN_GADS_MOF_SEARCH_CONQUEST-BRAND</t>
        </is>
      </c>
      <c r="E23" s="6" t="inlineStr">
        <is>
          <t>Search</t>
        </is>
      </c>
      <c r="F23" s="6" t="inlineStr">
        <is>
          <t>Clicks → Directions</t>
        </is>
      </c>
      <c r="G23" s="6" t="inlineStr">
        <is>
          <t>Manual Cost per Click ₹8-12</t>
        </is>
      </c>
      <c r="H23" s="6" t="inlineStr">
        <is>
          <t>Search</t>
        </is>
      </c>
      <c r="I23" s="5" t="inlineStr">
        <is>
          <t>Thu–Sun 10:00–22:00</t>
        </is>
      </c>
      <c r="J23" s="6" t="inlineStr">
        <is>
          <t>Lulu / Manjeera / Nexus brand terms</t>
        </is>
      </c>
      <c r="K23" s="5" t="inlineStr">
        <is>
          <t>Responsive Search Ad set B</t>
        </is>
      </c>
      <c r="L23" s="6" t="inlineStr">
        <is>
          <t>Cost per click under ₹12; at least 40% impression share on competitor brand terms</t>
        </is>
      </c>
      <c r="M23" s="6" t="inlineStr">
        <is>
          <t>Kukatpally brand-term auction is currently a 2-horse race</t>
        </is>
      </c>
    </row>
    <row r="24">
      <c r="A24" s="7" t="inlineStr">
        <is>
          <t>YJUNCTION</t>
        </is>
      </c>
      <c r="B24" s="7" t="inlineStr">
        <is>
          <t>GOOGLE</t>
        </is>
      </c>
      <c r="C24" s="8" t="inlineStr">
        <is>
          <t>Bottom of Funnel (Action)</t>
        </is>
      </c>
      <c r="D24" s="12" t="inlineStr">
        <is>
          <t>LS_YJN_GADS_BOF_YTSHORTS_RETARGET</t>
        </is>
      </c>
      <c r="E24" s="8" t="inlineStr">
        <is>
          <t>Video Action</t>
        </is>
      </c>
      <c r="F24" s="8" t="inlineStr">
        <is>
          <t>Conversions</t>
        </is>
      </c>
      <c r="G24" s="8" t="inlineStr">
        <is>
          <t>Target Cost per Action ₹70</t>
        </is>
      </c>
      <c r="H24" s="8" t="inlineStr">
        <is>
          <t>YouTube Shorts</t>
        </is>
      </c>
      <c r="I24" s="7" t="inlineStr">
        <is>
          <t>Fri–Sun 15:00–23:00</t>
        </is>
      </c>
      <c r="J24" s="8" t="inlineStr">
        <is>
          <t>YouTube viewers last 30 days</t>
        </is>
      </c>
      <c r="K24" s="7" t="inlineStr">
        <is>
          <t>YouTube Shorts cut-downs</t>
        </is>
      </c>
      <c r="L24" s="8" t="inlineStr">
        <is>
          <t>Target cost per action under ₹70; video view rate at least 25%</t>
        </is>
      </c>
      <c r="M24" s="8" t="inlineStr">
        <is>
          <t>Shorts is an empty lane for both client assets</t>
        </is>
      </c>
    </row>
    <row r="25">
      <c r="A25" s="5" t="inlineStr">
        <is>
          <t>BOTH</t>
        </is>
      </c>
      <c r="B25" s="5" t="inlineStr">
        <is>
          <t>META</t>
        </is>
      </c>
      <c r="C25" s="6" t="inlineStr">
        <is>
          <t>ALWAYS-ON</t>
        </is>
      </c>
      <c r="D25" s="11" t="inlineStr">
        <is>
          <t>LS_BOTH_META_AON_TENANTCOOP_1TO1</t>
        </is>
      </c>
      <c r="E25" s="6" t="inlineStr">
        <is>
          <t>Traffic / Conversions</t>
        </is>
      </c>
      <c r="F25" s="6" t="inlineStr">
        <is>
          <t>Landing Page Views</t>
        </is>
      </c>
      <c r="G25" s="6" t="inlineStr">
        <is>
          <t>Cost Cap (shared with the tenant)</t>
        </is>
      </c>
      <c r="H25" s="6" t="inlineStr">
        <is>
          <t>Reels, Feed, Stories</t>
        </is>
      </c>
      <c r="I25" s="5" t="inlineStr">
        <is>
          <t>Tenant-led calendar</t>
        </is>
      </c>
      <c r="J25" s="6" t="inlineStr">
        <is>
          <t>Tab 9 co-op audiences</t>
        </is>
      </c>
      <c r="K25" s="5" t="inlineStr">
        <is>
          <t>Tenant-supplied creative</t>
        </is>
      </c>
      <c r="L25" s="6" t="inlineStr">
        <is>
          <t>Blended cost per directions click under ₹30, because the tenant match halves the real cost</t>
        </is>
      </c>
      <c r="M25" s="6" t="inlineStr">
        <is>
          <t>17 tenant/retail advertisers already buy mall-adjacent inventory — split the bill (Tab 9)</t>
        </is>
      </c>
    </row>
    <row r="26">
      <c r="A26" s="7" t="inlineStr">
        <is>
          <t>BOTH</t>
        </is>
      </c>
      <c r="B26" s="7" t="inlineStr">
        <is>
          <t>META</t>
        </is>
      </c>
      <c r="C26" s="8" t="inlineStr">
        <is>
          <t>TEST</t>
        </is>
      </c>
      <c r="D26" s="12" t="inlineStr">
        <is>
          <t>LS_BOTH_META_TEST_HOOKLAB_0-3S</t>
        </is>
      </c>
      <c r="E26" s="8" t="inlineStr">
        <is>
          <t>Video Views</t>
        </is>
      </c>
      <c r="F26" s="8" t="inlineStr">
        <is>
          <t>ThruPlay</t>
        </is>
      </c>
      <c r="G26" s="8" t="inlineStr">
        <is>
          <t>Highest Volume</t>
        </is>
      </c>
      <c r="H26" s="8" t="inlineStr">
        <is>
          <t>Reels</t>
        </is>
      </c>
      <c r="I26" s="7" t="inlineStr">
        <is>
          <t>Rolling 14-day test cells</t>
        </is>
      </c>
      <c r="J26" s="8" t="inlineStr">
        <is>
          <t>3% broad, city-level</t>
        </is>
      </c>
      <c r="K26" s="7" t="inlineStr">
        <is>
          <t>6 hooks across 2 malls</t>
        </is>
      </c>
      <c r="L26" s="8" t="inlineStr">
        <is>
          <t>A hook wins if its 3-second view rate beats the control by 20%; stop any cell running 30% above the control cost</t>
        </is>
      </c>
      <c r="M26" s="8" t="inlineStr">
        <is>
          <t>91% of the 425 scraped competitor ads use 'Learn More' — hook variance is the cheapest edge in this auction</t>
        </is>
      </c>
    </row>
    <row r="28" ht="28" customHeight="1">
      <c r="A28" s="9" t="inlineStr">
        <is>
          <t>[PLANNING] Objectives, bid strategies and guardrail figures are media-buying constructs. [FROM THE DATA] The Dayparting Window and the Evidence column are computed directly from the Instagram day-of-week audit and the Google review friction mining.</t>
        </is>
      </c>
    </row>
  </sheetData>
  <autoFilter ref="A4:M26"/>
  <mergeCells count="3">
    <mergeCell ref="A2:L2"/>
    <mergeCell ref="A1:L1"/>
    <mergeCell ref="A28:M28"/>
  </mergeCells>
  <pageMargins left="0.75" right="0.75" top="1" bottom="1" header="0.5" footer="0.5"/>
</worksheet>
</file>

<file path=xl/worksheets/sheet3.xml><?xml version="1.0" encoding="utf-8"?>
<worksheet xmlns="http://schemas.openxmlformats.org/spreadsheetml/2006/main">
  <sheetPr>
    <tabColor rgb="006B2C5F"/>
    <outlinePr summaryBelow="1" summaryRight="1"/>
    <pageSetUpPr/>
  </sheetPr>
  <dimension ref="A1:M41"/>
  <sheetViews>
    <sheetView workbookViewId="0">
      <selection activeCell="A1" sqref="A1"/>
    </sheetView>
  </sheetViews>
  <sheetFormatPr baseColWidth="8" defaultRowHeight="15"/>
  <cols>
    <col width="9" customWidth="1" min="1" max="1"/>
    <col width="26" customWidth="1" min="2" max="2"/>
    <col width="54" customWidth="1" min="3" max="3"/>
    <col width="12" customWidth="1" min="4" max="4"/>
    <col width="34" customWidth="1" min="5" max="5"/>
    <col width="74" customWidth="1" min="6" max="6"/>
    <col width="8" customWidth="1" min="7" max="7"/>
    <col width="20" customWidth="1" min="8" max="8"/>
    <col width="72" customWidth="1" min="9" max="9"/>
    <col width="9" customWidth="1" min="10" max="10"/>
    <col width="9" customWidth="1" min="11" max="11"/>
    <col width="40" customWidth="1" min="12" max="12"/>
    <col width="34" customWidth="1" min="13" max="13"/>
  </cols>
  <sheetData>
    <row r="1" ht="30" customHeight="1">
      <c r="A1" s="13" t="inlineStr">
        <is>
          <t>2 · AUDIENCE TARGETING MATRIX — GEOFENCES, PIN CODES, LOOKALIKES &amp; EXCLUSIONS</t>
        </is>
      </c>
    </row>
    <row r="2" ht="20" customHeight="1">
      <c r="A2" s="2" t="inlineStr">
        <is>
          <t>Coordinates and pin codes are lifted from the Google Maps scrape itself. Where the scrape carried no coordinate, the real Google Place ID is given instead of an invented lat/long.</t>
        </is>
      </c>
    </row>
    <row r="4" ht="22" customHeight="1">
      <c r="A4" s="14" t="inlineStr">
        <is>
          <t>A · CONQUESTING GEOFENCES — 3km INCLUSION RINGS AROUND COMPETITOR DOORS</t>
        </is>
      </c>
    </row>
    <row r="5" ht="34" customHeight="1">
      <c r="A5" s="15" t="inlineStr">
        <is>
          <t>ID</t>
        </is>
      </c>
      <c r="B5" s="15" t="inlineStr">
        <is>
          <t>Target Mall (geofence centre)</t>
        </is>
      </c>
      <c r="C5" s="15" t="inlineStr">
        <is>
          <t>City</t>
        </is>
      </c>
      <c r="D5" s="15" t="inlineStr">
        <is>
          <t>Latitude</t>
        </is>
      </c>
      <c r="E5" s="15" t="inlineStr">
        <is>
          <t>Longitude</t>
        </is>
      </c>
      <c r="F5" s="15" t="inlineStr">
        <is>
          <t>Google Place ID (use if no lat/long)</t>
        </is>
      </c>
      <c r="G5" s="15" t="inlineStr">
        <is>
          <t>Pin Code</t>
        </is>
      </c>
      <c r="H5" s="15" t="inlineStr">
        <is>
          <t>Radius</t>
        </is>
      </c>
      <c r="I5" s="15" t="inlineStr">
        <is>
          <t>Reviews</t>
        </is>
      </c>
      <c r="J5" s="15" t="inlineStr">
        <is>
          <t>Rating</t>
        </is>
      </c>
      <c r="K5" s="15" t="inlineStr">
        <is>
          <t>1-star and 2-star %</t>
        </is>
      </c>
      <c r="L5" s="15" t="inlineStr">
        <is>
          <t>Friction wedge to lead with</t>
        </is>
      </c>
      <c r="M5" s="15" t="inlineStr">
        <is>
          <t>Assign to campaign</t>
        </is>
      </c>
    </row>
    <row r="6">
      <c r="A6" s="5" t="inlineStr">
        <is>
          <t>T2-G1</t>
        </is>
      </c>
      <c r="B6" s="5" t="inlineStr">
        <is>
          <t>Phoenix Avenue of Stars</t>
        </is>
      </c>
      <c r="C6" s="5" t="inlineStr">
        <is>
          <t>Pune</t>
        </is>
      </c>
      <c r="D6" s="5" t="inlineStr">
        <is>
          <t>not in scrape</t>
        </is>
      </c>
      <c r="E6" s="5" t="inlineStr">
        <is>
          <t>not in scrape</t>
        </is>
      </c>
      <c r="F6" s="11" t="inlineStr">
        <is>
          <t>ChIJv6OzuEfBwjsRfsfW5Mjcf28</t>
        </is>
      </c>
      <c r="G6" s="5" t="inlineStr">
        <is>
          <t>411014</t>
        </is>
      </c>
      <c r="H6" s="5" t="inlineStr">
        <is>
          <t>3 km</t>
        </is>
      </c>
      <c r="I6" s="5" t="n">
        <v>1890</v>
      </c>
      <c r="J6" s="5" t="n">
        <v>4.47</v>
      </c>
      <c r="K6" s="5" t="n">
        <v>6.19</v>
      </c>
      <c r="L6" s="6" t="inlineStr">
        <is>
          <t>Parking &amp; Valet Delay (62) + Staff &amp; Service (32)</t>
        </is>
      </c>
      <c r="M6" s="11" t="inlineStr">
        <is>
          <t>LS_KOPA_META_MOF_CONQUEST_*</t>
        </is>
      </c>
    </row>
    <row r="7">
      <c r="A7" s="7" t="inlineStr">
        <is>
          <t>T2-G2</t>
        </is>
      </c>
      <c r="B7" s="7" t="inlineStr">
        <is>
          <t>Amanora Mall</t>
        </is>
      </c>
      <c r="C7" s="7" t="inlineStr">
        <is>
          <t>Pune</t>
        </is>
      </c>
      <c r="D7" s="7" t="inlineStr">
        <is>
          <t>not in scrape</t>
        </is>
      </c>
      <c r="E7" s="7" t="inlineStr">
        <is>
          <t>not in scrape</t>
        </is>
      </c>
      <c r="F7" s="12" t="inlineStr">
        <is>
          <t>ChIJq6qqpyDCwjsRwxbllWxdx3s</t>
        </is>
      </c>
      <c r="G7" s="7" t="inlineStr">
        <is>
          <t>411028</t>
        </is>
      </c>
      <c r="H7" s="7" t="inlineStr">
        <is>
          <t>3 km</t>
        </is>
      </c>
      <c r="I7" s="7" t="n">
        <v>1600</v>
      </c>
      <c r="J7" s="7" t="n">
        <v>4.52</v>
      </c>
      <c r="K7" s="7" t="n">
        <v>4.25</v>
      </c>
      <c r="L7" s="8" t="inlineStr">
        <is>
          <t>Parking &amp; Valet Delay (14) + Staff &amp; Service (7)</t>
        </is>
      </c>
      <c r="M7" s="12" t="inlineStr">
        <is>
          <t>LS_KOPA_META_MOF_CONQUEST_*</t>
        </is>
      </c>
    </row>
    <row r="8">
      <c r="A8" s="5" t="inlineStr">
        <is>
          <t>T2-G2b</t>
        </is>
      </c>
      <c r="B8" s="5" t="inlineStr">
        <is>
          <t>Seasons Mall</t>
        </is>
      </c>
      <c r="C8" s="5" t="inlineStr">
        <is>
          <t>Pune</t>
        </is>
      </c>
      <c r="D8" s="5" t="inlineStr">
        <is>
          <t>not in scrape</t>
        </is>
      </c>
      <c r="E8" s="5" t="inlineStr">
        <is>
          <t>not in scrape</t>
        </is>
      </c>
      <c r="F8" s="11" t="inlineStr">
        <is>
          <t>ChIJ6784PzzBwjsRJ60Gz-Uo-08</t>
        </is>
      </c>
      <c r="G8" s="5" t="inlineStr">
        <is>
          <t>411013</t>
        </is>
      </c>
      <c r="H8" s="5" t="inlineStr">
        <is>
          <t>3 km</t>
        </is>
      </c>
      <c r="I8" s="5" t="n">
        <v>1100</v>
      </c>
      <c r="J8" s="5" t="n">
        <v>4.5</v>
      </c>
      <c r="K8" s="5" t="n">
        <v>5</v>
      </c>
      <c r="L8" s="6" t="inlineStr">
        <is>
          <t>Staff &amp; Service (12) + Parking &amp; Valet Delay (3)</t>
        </is>
      </c>
      <c r="M8" s="11" t="inlineStr">
        <is>
          <t>LS_KOPA_META_MOF_CONQUEST_*</t>
        </is>
      </c>
    </row>
    <row r="9">
      <c r="A9" s="7" t="inlineStr">
        <is>
          <t>T2-G5</t>
        </is>
      </c>
      <c r="B9" s="7" t="inlineStr">
        <is>
          <t>The Pavillion Pune</t>
        </is>
      </c>
      <c r="C9" s="7" t="inlineStr">
        <is>
          <t>Pune</t>
        </is>
      </c>
      <c r="D9" s="7" t="inlineStr">
        <is>
          <t>not in scrape</t>
        </is>
      </c>
      <c r="E9" s="7" t="inlineStr">
        <is>
          <t>not in scrape</t>
        </is>
      </c>
      <c r="F9" s="12" t="inlineStr">
        <is>
          <t>ChIJT_2E22PBwjsR9W14R2Y9x0g</t>
        </is>
      </c>
      <c r="G9" s="7" t="inlineStr">
        <is>
          <t>411016</t>
        </is>
      </c>
      <c r="H9" s="7" t="inlineStr">
        <is>
          <t>3 km</t>
        </is>
      </c>
      <c r="I9" s="7" t="n">
        <v>2490</v>
      </c>
      <c r="J9" s="7" t="n">
        <v>4.53</v>
      </c>
      <c r="K9" s="7" t="n">
        <v>4.42</v>
      </c>
      <c r="L9" s="8" t="inlineStr">
        <is>
          <t>Staff &amp; Service (32) + Dining Wait &amp; Food Court (17)</t>
        </is>
      </c>
      <c r="M9" s="12" t="inlineStr">
        <is>
          <t>LS_KOPA_META_MOF_CONQUEST_*</t>
        </is>
      </c>
    </row>
    <row r="10">
      <c r="A10" s="5" t="inlineStr">
        <is>
          <t>T2-G6</t>
        </is>
      </c>
      <c r="B10" s="5" t="inlineStr">
        <is>
          <t>Phoenix Mall of the Millennium</t>
        </is>
      </c>
      <c r="C10" s="5" t="inlineStr">
        <is>
          <t>Pune</t>
        </is>
      </c>
      <c r="D10" s="5" t="n">
        <v>18.5989288</v>
      </c>
      <c r="E10" s="5" t="n">
        <v>73.7576155</v>
      </c>
      <c r="F10" s="11" t="inlineStr">
        <is>
          <t>ChIJ2_a82-y9wjsR9w2O9VvV1-0</t>
        </is>
      </c>
      <c r="G10" s="5" t="inlineStr">
        <is>
          <t>411057</t>
        </is>
      </c>
      <c r="H10" s="5" t="inlineStr">
        <is>
          <t>3 km</t>
        </is>
      </c>
      <c r="I10" s="5" t="n">
        <v>50</v>
      </c>
      <c r="J10" s="5" t="n">
        <v>4.36</v>
      </c>
      <c r="K10" s="5" t="n">
        <v>12</v>
      </c>
      <c r="L10" s="6" t="inlineStr">
        <is>
          <t>Parking &amp; Valet Delay (2) + Overcrowding &amp; Queues (2)</t>
        </is>
      </c>
      <c r="M10" s="11" t="inlineStr">
        <is>
          <t>LS_KOPA_META_MOF_CONQUEST_*</t>
        </is>
      </c>
    </row>
    <row r="11">
      <c r="A11" s="7" t="inlineStr">
        <is>
          <t>T2-G3</t>
        </is>
      </c>
      <c r="B11" s="7" t="inlineStr">
        <is>
          <t>Lulu Mall Hyderabad (Y Junction)</t>
        </is>
      </c>
      <c r="C11" s="7" t="inlineStr">
        <is>
          <t>Hyderabad</t>
        </is>
      </c>
      <c r="D11" s="7" t="n">
        <v>17.490262</v>
      </c>
      <c r="E11" s="7" t="n">
        <v>78.39284000000001</v>
      </c>
      <c r="F11" s="12" t="inlineStr">
        <is>
          <t>ChIJw7tH8yCRyzsR0c9M1B1gX9k</t>
        </is>
      </c>
      <c r="G11" s="7" t="inlineStr">
        <is>
          <t>500072</t>
        </is>
      </c>
      <c r="H11" s="7" t="inlineStr">
        <is>
          <t>3 km</t>
        </is>
      </c>
      <c r="I11" s="7" t="n">
        <v>3820</v>
      </c>
      <c r="J11" s="7" t="n">
        <v>4.21</v>
      </c>
      <c r="K11" s="7" t="n">
        <v>9.609999999999999</v>
      </c>
      <c r="L11" s="8" t="inlineStr">
        <is>
          <t>Staff &amp; Service (43) + Washroom Hygiene (26)</t>
        </is>
      </c>
      <c r="M11" s="12" t="inlineStr">
        <is>
          <t>LS_YJN_META_MOF_CONQUEST_*</t>
        </is>
      </c>
    </row>
    <row r="12">
      <c r="A12" s="5" t="inlineStr">
        <is>
          <t>T2-G4</t>
        </is>
      </c>
      <c r="B12" s="5" t="inlineStr">
        <is>
          <t>Manjeera Trinity Mall (Y Junction)</t>
        </is>
      </c>
      <c r="C12" s="5" t="inlineStr">
        <is>
          <t>Hyderabad</t>
        </is>
      </c>
      <c r="D12" s="5" t="n">
        <v>17.4920795</v>
      </c>
      <c r="E12" s="5" t="n">
        <v>78.3935541</v>
      </c>
      <c r="F12" s="11" t="inlineStr">
        <is>
          <t>ChIJuc4lYACRyzsR49_LVvQdD9c</t>
        </is>
      </c>
      <c r="G12" s="5" t="inlineStr">
        <is>
          <t>500072</t>
        </is>
      </c>
      <c r="H12" s="5" t="inlineStr">
        <is>
          <t>3 km</t>
        </is>
      </c>
      <c r="I12" s="5" t="n">
        <v>2713</v>
      </c>
      <c r="J12" s="5" t="n">
        <v>3.97</v>
      </c>
      <c r="K12" s="5" t="n">
        <v>9.800000000000001</v>
      </c>
      <c r="L12" s="6" t="inlineStr">
        <is>
          <t>Parking &amp; Valet Delay (11) + Vertical Transport (7)</t>
        </is>
      </c>
      <c r="M12" s="11" t="inlineStr">
        <is>
          <t>LS_YJN_META_MOF_CONQUEST_*</t>
        </is>
      </c>
    </row>
    <row r="13">
      <c r="A13" s="7" t="inlineStr">
        <is>
          <t>T2-G7</t>
        </is>
      </c>
      <c r="B13" s="7" t="inlineStr">
        <is>
          <t>Nexus Hyderabad Mall (Forum Sujana)</t>
        </is>
      </c>
      <c r="C13" s="7" t="inlineStr">
        <is>
          <t>Hyderabad</t>
        </is>
      </c>
      <c r="D13" s="7" t="inlineStr">
        <is>
          <t>not in scrape</t>
        </is>
      </c>
      <c r="E13" s="7" t="inlineStr">
        <is>
          <t>not in scrape</t>
        </is>
      </c>
      <c r="F13" s="12" t="inlineStr">
        <is>
          <t>ChIJw9ZcCQ-RyzsR9mC3N5Qf2pU</t>
        </is>
      </c>
      <c r="G13" s="7" t="inlineStr">
        <is>
          <t>500072</t>
        </is>
      </c>
      <c r="H13" s="7" t="inlineStr">
        <is>
          <t>3 km</t>
        </is>
      </c>
      <c r="I13" s="7" t="n">
        <v>1940</v>
      </c>
      <c r="J13" s="7" t="n">
        <v>4.41</v>
      </c>
      <c r="K13" s="7" t="n">
        <v>5.46</v>
      </c>
      <c r="L13" s="8" t="inlineStr">
        <is>
          <t>Parking &amp; Valet Delay (11) + Dining Wait &amp; Food Court (10)</t>
        </is>
      </c>
      <c r="M13" s="12" t="inlineStr">
        <is>
          <t>LS_YJN_META_MOF_CONQUEST_*</t>
        </is>
      </c>
    </row>
    <row r="14">
      <c r="A14" s="5" t="inlineStr">
        <is>
          <t>T2-G8</t>
        </is>
      </c>
      <c r="B14" s="5" t="inlineStr">
        <is>
          <t>Sarath City Capital Mall</t>
        </is>
      </c>
      <c r="C14" s="5" t="inlineStr">
        <is>
          <t>Hyderabad</t>
        </is>
      </c>
      <c r="D14" s="5" t="inlineStr">
        <is>
          <t>not in scrape</t>
        </is>
      </c>
      <c r="E14" s="5" t="inlineStr">
        <is>
          <t>not in scrape</t>
        </is>
      </c>
      <c r="F14" s="11" t="inlineStr">
        <is>
          <t>ChIJu9knDCeTyzsRV4VLaGsc4bs</t>
        </is>
      </c>
      <c r="G14" s="5" t="inlineStr">
        <is>
          <t>500084</t>
        </is>
      </c>
      <c r="H14" s="5" t="inlineStr">
        <is>
          <t>3 km</t>
        </is>
      </c>
      <c r="I14" s="5" t="n">
        <v>1610</v>
      </c>
      <c r="J14" s="5" t="n">
        <v>4.39</v>
      </c>
      <c r="K14" s="5" t="n">
        <v>7.45</v>
      </c>
      <c r="L14" s="6" t="inlineStr">
        <is>
          <t>Parking &amp; Valet Delay (43) + Overcrowding &amp; Queues (19)</t>
        </is>
      </c>
      <c r="M14" s="11" t="inlineStr">
        <is>
          <t>LS_YJN_META_MOF_CONQUEST_*</t>
        </is>
      </c>
    </row>
    <row r="15">
      <c r="A15" s="7" t="inlineStr">
        <is>
          <t>T2-G9</t>
        </is>
      </c>
      <c r="B15" s="7" t="inlineStr">
        <is>
          <t>Inorbit Mall Cyberabad</t>
        </is>
      </c>
      <c r="C15" s="7" t="inlineStr">
        <is>
          <t>Hyderabad</t>
        </is>
      </c>
      <c r="D15" s="7" t="inlineStr">
        <is>
          <t>not in scrape</t>
        </is>
      </c>
      <c r="E15" s="7" t="inlineStr">
        <is>
          <t>not in scrape</t>
        </is>
      </c>
      <c r="F15" s="12" t="inlineStr">
        <is>
          <t>ChIJ40oJk7aTyzsRkO8H3XyT7f4</t>
        </is>
      </c>
      <c r="G15" s="7" t="inlineStr">
        <is>
          <t>500081</t>
        </is>
      </c>
      <c r="H15" s="7" t="inlineStr">
        <is>
          <t>3 km</t>
        </is>
      </c>
      <c r="I15" s="7" t="n">
        <v>1560</v>
      </c>
      <c r="J15" s="7" t="n">
        <v>4.47</v>
      </c>
      <c r="K15" s="7" t="n">
        <v>5.38</v>
      </c>
      <c r="L15" s="8" t="inlineStr">
        <is>
          <t>Staff &amp; Service (18) + Dining Wait &amp; Food Court (10)</t>
        </is>
      </c>
      <c r="M15" s="12" t="inlineStr">
        <is>
          <t>LS_YJN_META_MOF_CONQUEST_*</t>
        </is>
      </c>
    </row>
    <row r="16">
      <c r="A16" s="5" t="inlineStr">
        <is>
          <t>T2-G10</t>
        </is>
      </c>
      <c r="B16" s="5" t="inlineStr">
        <is>
          <t>GVK One Mall</t>
        </is>
      </c>
      <c r="C16" s="5" t="inlineStr">
        <is>
          <t>Hyderabad</t>
        </is>
      </c>
      <c r="D16" s="5" t="n">
        <v>17.4192427</v>
      </c>
      <c r="E16" s="5" t="n">
        <v>78.44848399999999</v>
      </c>
      <c r="F16" s="11" t="inlineStr">
        <is>
          <t>ChIJP-oQ5b-ZyzsRN-8w5tB9-3k</t>
        </is>
      </c>
      <c r="G16" s="5" t="inlineStr">
        <is>
          <t>500034</t>
        </is>
      </c>
      <c r="H16" s="5" t="inlineStr">
        <is>
          <t>3 km</t>
        </is>
      </c>
      <c r="I16" s="5" t="n">
        <v>2080</v>
      </c>
      <c r="J16" s="5" t="n">
        <v>4.34</v>
      </c>
      <c r="K16" s="5" t="n">
        <v>6.3</v>
      </c>
      <c r="L16" s="6" t="inlineStr">
        <is>
          <t>Dining Wait &amp; Food Court (15) + Staff &amp; Service (15)</t>
        </is>
      </c>
      <c r="M16" s="11" t="inlineStr">
        <is>
          <t>LS_YJN_META_MOF_CONQUEST_*</t>
        </is>
      </c>
    </row>
    <row r="18" ht="22" customHeight="1">
      <c r="A18" s="14" t="inlineStr">
        <is>
          <t>B · CLIENT ASSET HOME RINGS + PIN-CODE LAYERS</t>
        </is>
      </c>
    </row>
    <row r="19" ht="34" customHeight="1">
      <c r="A19" s="15" t="inlineStr">
        <is>
          <t>ID</t>
        </is>
      </c>
      <c r="B19" s="15" t="inlineStr">
        <is>
          <t>Layer</t>
        </is>
      </c>
      <c r="C19" s="15" t="inlineStr">
        <is>
          <t>Centre / Definition</t>
        </is>
      </c>
      <c r="D19" s="15" t="inlineStr">
        <is>
          <t>Lat</t>
        </is>
      </c>
      <c r="E19" s="15" t="inlineStr">
        <is>
          <t>Lng</t>
        </is>
      </c>
      <c r="F19" s="15" t="inlineStr">
        <is>
          <t>Pin codes</t>
        </is>
      </c>
      <c r="G19" s="15" t="inlineStr">
        <is>
          <t>Radius</t>
        </is>
      </c>
      <c r="H19" s="15" t="inlineStr">
        <is>
          <t>Use</t>
        </is>
      </c>
      <c r="I19" s="15" t="inlineStr">
        <is>
          <t>Notes</t>
        </is>
      </c>
    </row>
    <row r="20">
      <c r="A20" s="5" t="inlineStr">
        <is>
          <t>T2-A1</t>
        </is>
      </c>
      <c r="B20" s="5" t="inlineStr">
        <is>
          <t>KOPA home ring</t>
        </is>
      </c>
      <c r="C20" s="5" t="inlineStr">
        <is>
          <t>KOPA Mall, Koregaon Park Annexe, Mundhwa Rd</t>
        </is>
      </c>
      <c r="D20" s="5" t="n">
        <v>18.5382903</v>
      </c>
      <c r="E20" s="5" t="n">
        <v>73.90773489999999</v>
      </c>
      <c r="F20" s="6" t="inlineStr">
        <is>
          <t>411001, 411036, 411014</t>
        </is>
      </c>
      <c r="G20" s="5" t="inlineStr">
        <is>
          <t>3 km</t>
        </is>
      </c>
      <c r="H20" s="5" t="inlineStr">
        <is>
          <t>Top of Funnel (Awareness) Quiet Luxury</t>
        </is>
      </c>
      <c r="I20" s="6" t="inlineStr">
        <is>
          <t>Pin 411001 is the mall's own code, taken from the scraped address</t>
        </is>
      </c>
    </row>
    <row r="21">
      <c r="A21" s="7" t="inlineStr">
        <is>
          <t>T2-A2</t>
        </is>
      </c>
      <c r="B21" s="7" t="inlineStr">
        <is>
          <t>Pune East foodie belt</t>
        </is>
      </c>
      <c r="C21" s="7" t="inlineStr">
        <is>
          <t>KOPA centre, widened</t>
        </is>
      </c>
      <c r="D21" s="7" t="n">
        <v>18.5382903</v>
      </c>
      <c r="E21" s="7" t="n">
        <v>73.90773489999999</v>
      </c>
      <c r="F21" s="8" t="inlineStr">
        <is>
          <t>411001, 411006, 411014, 411013, 411028</t>
        </is>
      </c>
      <c r="G21" s="7" t="inlineStr">
        <is>
          <t>8 km</t>
        </is>
      </c>
      <c r="H21" s="7" t="inlineStr">
        <is>
          <t>Top of Funnel (Awareness) Foodie</t>
        </is>
      </c>
      <c r="I21" s="8" t="inlineStr">
        <is>
          <t>411006 = Koregaon Park / Boat Club affluence; 411014 = Viman Nagar (Phoenix catchment); 411013/411028 = Magarpatta &amp; Amanora</t>
        </is>
      </c>
    </row>
    <row r="22">
      <c r="A22" s="5" t="inlineStr">
        <is>
          <t>T2-A3</t>
        </is>
      </c>
      <c r="B22" s="5" t="inlineStr">
        <is>
          <t>Y Junction home ring</t>
        </is>
      </c>
      <c r="C22" s="5" t="inlineStr">
        <is>
          <t>Kukatpally Y Junction (KPHB)</t>
        </is>
      </c>
      <c r="D22" s="5" t="inlineStr">
        <is>
          <t>17.4920795</t>
        </is>
      </c>
      <c r="E22" s="5" t="inlineStr">
        <is>
          <t>78.3935541</t>
        </is>
      </c>
      <c r="F22" s="6" t="inlineStr">
        <is>
          <t>500072, 500085</t>
        </is>
      </c>
      <c r="G22" s="5" t="inlineStr">
        <is>
          <t>4 km</t>
        </is>
      </c>
      <c r="H22" s="5" t="inlineStr">
        <is>
          <t>Top of Funnel (Awareness) Launch Reach</t>
        </is>
      </c>
      <c r="I22" s="6" t="inlineStr">
        <is>
          <t>Coordinate taken from the Manjeera Trinity scrape — same Y-Junction node</t>
        </is>
      </c>
    </row>
    <row r="23">
      <c r="A23" s="7" t="inlineStr">
        <is>
          <t>T2-A4</t>
        </is>
      </c>
      <c r="B23" s="7" t="inlineStr">
        <is>
          <t>Hitec City commuter belt</t>
        </is>
      </c>
      <c r="C23" s="7" t="inlineStr">
        <is>
          <t>Madhapur / Mindspace / Gachibowli</t>
        </is>
      </c>
      <c r="D23" s="7" t="inlineStr">
        <is>
          <t>17.4920795</t>
        </is>
      </c>
      <c r="E23" s="7" t="inlineStr">
        <is>
          <t>78.3935541</t>
        </is>
      </c>
      <c r="F23" s="8" t="inlineStr">
        <is>
          <t>500081, 500084, 500032</t>
        </is>
      </c>
      <c r="G23" s="7" t="inlineStr">
        <is>
          <t>6 km</t>
        </is>
      </c>
      <c r="H23" s="7" t="inlineStr">
        <is>
          <t>Top of Funnel (Awareness) Commuter</t>
        </is>
      </c>
      <c r="I23" s="8" t="inlineStr">
        <is>
          <t>Pin codes from the Inorbit (500081) and Sarath City (500084) scraped addresses</t>
        </is>
      </c>
    </row>
    <row r="25" ht="22" customHeight="1">
      <c r="A25" s="14" t="inlineStr">
        <is>
          <t>C · LOOKALIKES, CUSTOM AUDIENCES &amp; EXCLUSIONS</t>
        </is>
      </c>
    </row>
    <row r="26" ht="34" customHeight="1">
      <c r="A26" s="15" t="inlineStr">
        <is>
          <t>ID</t>
        </is>
      </c>
      <c r="B26" s="15" t="inlineStr">
        <is>
          <t>Type</t>
        </is>
      </c>
      <c r="C26" s="15" t="inlineStr">
        <is>
          <t>Source / Seed</t>
        </is>
      </c>
      <c r="D26" s="15" t="inlineStr">
        <is>
          <t>Size</t>
        </is>
      </c>
      <c r="E26" s="15" t="inlineStr">
        <is>
          <t>Applied to</t>
        </is>
      </c>
      <c r="F26" s="15" t="inlineStr">
        <is>
          <t>Why (from the data)</t>
        </is>
      </c>
    </row>
    <row r="27">
      <c r="A27" s="5" t="inlineStr">
        <is>
          <t>T2-L1</t>
        </is>
      </c>
      <c r="B27" s="5" t="inlineStr">
        <is>
          <t>Value Lookalike 1%</t>
        </is>
      </c>
      <c r="C27" s="5" t="inlineStr">
        <is>
          <t>Valet QR scanners + Wi-Fi logins (offline conversion tracking, Tab 6)</t>
        </is>
      </c>
      <c r="D27" s="5" t="inlineStr">
        <is>
          <t>1% of India</t>
        </is>
      </c>
      <c r="E27" s="5" t="inlineStr">
        <is>
          <t>KOPA Middle of Funnel (Consideration)/Bottom of Funnel (Action)</t>
        </is>
      </c>
      <c r="F27" s="6" t="inlineStr">
        <is>
          <t>Highest-intent first-party seed a mall can build</t>
        </is>
      </c>
    </row>
    <row r="28">
      <c r="A28" s="7" t="inlineStr">
        <is>
          <t>T2-L2</t>
        </is>
      </c>
      <c r="B28" s="7" t="inlineStr">
        <is>
          <t>Engagement Lookalike 1-3%</t>
        </is>
      </c>
      <c r="C28" s="7" t="inlineStr">
        <is>
          <t>Instagram and Facebook engagers, last 365 days on @kopapune</t>
        </is>
      </c>
      <c r="D28" s="7" t="inlineStr">
        <is>
          <t>1-3% of India</t>
        </is>
      </c>
      <c r="E28" s="7" t="inlineStr">
        <is>
          <t>KOPA Top of Funnel (Awareness)</t>
        </is>
      </c>
      <c r="F28" s="8" t="inlineStr">
        <is>
          <t>330 owned posts + 752 collab posts in the last year is a large engager pool</t>
        </is>
      </c>
    </row>
    <row r="29">
      <c r="A29" s="5" t="inlineStr">
        <is>
          <t>T2-L3</t>
        </is>
      </c>
      <c r="B29" s="5" t="inlineStr">
        <is>
          <t>Engagement Lookalike 1-3%</t>
        </is>
      </c>
      <c r="C29" s="5" t="inlineStr">
        <is>
          <t>Instagram and Facebook engagers, last 365 days on @lakeshoreyjunction</t>
        </is>
      </c>
      <c r="D29" s="5" t="inlineStr">
        <is>
          <t>1-3% of India</t>
        </is>
      </c>
      <c r="E29" s="5" t="inlineStr">
        <is>
          <t>YJN Top of Funnel (Awareness)</t>
        </is>
      </c>
      <c r="F29" s="6" t="inlineStr">
        <is>
          <t>442 collabs generated 24.7M views — engager pool is bigger than post count implies</t>
        </is>
      </c>
    </row>
    <row r="30">
      <c r="A30" s="7" t="inlineStr">
        <is>
          <t>T2-L4</t>
        </is>
      </c>
      <c r="B30" s="7" t="inlineStr">
        <is>
          <t>Video Lookalike 1%</t>
        </is>
      </c>
      <c r="C30" s="7" t="inlineStr">
        <is>
          <t>People who watched 95% of a video in the last 30 days</t>
        </is>
      </c>
      <c r="D30" s="7" t="inlineStr">
        <is>
          <t>1% of India</t>
        </is>
      </c>
      <c r="E30" s="7" t="inlineStr">
        <is>
          <t>Both Middle of Funnel (Consideration)</t>
        </is>
      </c>
      <c r="F30" s="8" t="inlineStr">
        <is>
          <t>Rebuild weekly once Top of Funnel (Awareness) has spent 14 days</t>
        </is>
      </c>
    </row>
    <row r="31">
      <c r="A31" s="5" t="inlineStr">
        <is>
          <t>T2-C1</t>
        </is>
      </c>
      <c r="B31" s="5" t="inlineStr">
        <is>
          <t>Custom — Creator audiences</t>
        </is>
      </c>
      <c r="C31" s="5" t="inlineStr">
        <is>
          <t>Partnership-Ad engagers from whitelisted handles (Tab 4)</t>
        </is>
      </c>
      <c r="D31" s="5" t="inlineStr">
        <is>
          <t>Rolling</t>
        </is>
      </c>
      <c r="E31" s="5" t="inlineStr">
        <is>
          <t>Both Middle of Funnel (Consideration)</t>
        </is>
      </c>
      <c r="F31" s="6" t="inlineStr">
        <is>
          <t>586 creators audited; the top 25 alone carry 8-figure view totals</t>
        </is>
      </c>
    </row>
    <row r="32">
      <c r="A32" s="7" t="inlineStr">
        <is>
          <t>T2-R1</t>
        </is>
      </c>
      <c r="B32" s="7" t="inlineStr">
        <is>
          <t>Retarget last 180 days</t>
        </is>
      </c>
      <c r="C32" s="7" t="inlineStr">
        <is>
          <t>All KOPA engagers + site + Maps profile viewers</t>
        </is>
      </c>
      <c r="D32" s="7" t="inlineStr">
        <is>
          <t>Rolling</t>
        </is>
      </c>
      <c r="E32" s="7" t="inlineStr">
        <is>
          <t>LS_KOPA_META_BOF_*</t>
        </is>
      </c>
      <c r="F32" s="8" t="inlineStr">
        <is>
          <t>—</t>
        </is>
      </c>
    </row>
    <row r="33">
      <c r="A33" s="5" t="inlineStr">
        <is>
          <t>T2-R2</t>
        </is>
      </c>
      <c r="B33" s="5" t="inlineStr">
        <is>
          <t>Retarget — valet CRM</t>
        </is>
      </c>
      <c r="C33" s="5" t="inlineStr">
        <is>
          <t>Valet QR + parking-voucher redeemers</t>
        </is>
      </c>
      <c r="D33" s="5" t="inlineStr">
        <is>
          <t>Rolling</t>
        </is>
      </c>
      <c r="E33" s="5" t="inlineStr">
        <is>
          <t>LS_KOPA_META_BOF_VALETQR_CAPI</t>
        </is>
      </c>
      <c r="F33" s="6" t="inlineStr">
        <is>
          <t>Parking is KOPA's own #1 1-star and 2-star cluster (18 mentions) — retarget to fix, not just to sell</t>
        </is>
      </c>
    </row>
    <row r="34">
      <c r="A34" s="7" t="inlineStr">
        <is>
          <t>T2-R3</t>
        </is>
      </c>
      <c r="B34" s="7" t="inlineStr">
        <is>
          <t>Retarget last 180 days</t>
        </is>
      </c>
      <c r="C34" s="7" t="inlineStr">
        <is>
          <t>All Y Junction engagers + site</t>
        </is>
      </c>
      <c r="D34" s="7" t="inlineStr">
        <is>
          <t>Rolling</t>
        </is>
      </c>
      <c r="E34" s="7" t="inlineStr">
        <is>
          <t>LS_YJN_META_BOF_*</t>
        </is>
      </c>
      <c r="F34" s="8" t="inlineStr">
        <is>
          <t>—</t>
        </is>
      </c>
    </row>
    <row r="35">
      <c r="A35" s="5" t="inlineStr">
        <is>
          <t>T2-R4</t>
        </is>
      </c>
      <c r="B35" s="5" t="inlineStr">
        <is>
          <t>Retarget — Food and Beverage</t>
        </is>
      </c>
      <c r="C35" s="5" t="inlineStr">
        <is>
          <t>Menu-page and reservation-click audiences</t>
        </is>
      </c>
      <c r="D35" s="5" t="inlineStr">
        <is>
          <t>Rolling</t>
        </is>
      </c>
      <c r="E35" s="5" t="inlineStr">
        <is>
          <t>LS_YJN_META_BOF_DINEDEAL_CAPI</t>
        </is>
      </c>
      <c r="F35" s="6" t="inlineStr">
        <is>
          <t>Dining/booking = 78 of 1,524 comments, the top FAQ cluster</t>
        </is>
      </c>
    </row>
    <row r="36">
      <c r="A36" s="7" t="inlineStr">
        <is>
          <t>T2-X1</t>
        </is>
      </c>
      <c r="B36" s="7" t="inlineStr">
        <is>
          <t>EXCLUDE</t>
        </is>
      </c>
      <c r="C36" s="7" t="inlineStr">
        <is>
          <t>Purchasers/redeemers last 14d</t>
        </is>
      </c>
      <c r="D36" s="7" t="inlineStr">
        <is>
          <t>—</t>
        </is>
      </c>
      <c r="E36" s="7" t="inlineStr">
        <is>
          <t>All Top of Funnel (Awareness)/Middle of Funnel (Consideration)</t>
        </is>
      </c>
      <c r="F36" s="8" t="inlineStr">
        <is>
          <t>Stop paying to re-reach a visitor who already came</t>
        </is>
      </c>
    </row>
    <row r="37">
      <c r="A37" s="5" t="inlineStr">
        <is>
          <t>T2-X2</t>
        </is>
      </c>
      <c r="B37" s="5" t="inlineStr">
        <is>
          <t>EXCLUDE</t>
        </is>
      </c>
      <c r="C37" s="5" t="inlineStr">
        <is>
          <t>Existing mall staff + tenant staff lists</t>
        </is>
      </c>
      <c r="D37" s="5" t="inlineStr">
        <is>
          <t>—</t>
        </is>
      </c>
      <c r="E37" s="5" t="inlineStr">
        <is>
          <t>All</t>
        </is>
      </c>
      <c r="F37" s="6" t="inlineStr">
        <is>
          <t>Removes a large, worthless, high-frequency pool inside a 3km ring</t>
        </is>
      </c>
    </row>
    <row r="38">
      <c r="A38" s="7" t="inlineStr">
        <is>
          <t>T2-X3</t>
        </is>
      </c>
      <c r="B38" s="7" t="inlineStr">
        <is>
          <t>EXCLUDE</t>
        </is>
      </c>
      <c r="C38" s="7" t="inlineStr">
        <is>
          <t>Own-mall 3km ring from CONQUEST ad sets</t>
        </is>
      </c>
      <c r="D38" s="7" t="inlineStr">
        <is>
          <t>—</t>
        </is>
      </c>
      <c r="E38" s="7" t="inlineStr">
        <is>
          <t>All CONQUEST</t>
        </is>
      </c>
      <c r="F38" s="8" t="inlineStr">
        <is>
          <t>Prevents the conquest ad set from cannibalising the home-ring Top of Funnel (Awareness) at a higher bid</t>
        </is>
      </c>
    </row>
    <row r="39">
      <c r="A39" s="5" t="inlineStr">
        <is>
          <t>T2-X4</t>
        </is>
      </c>
      <c r="B39" s="5" t="inlineStr">
        <is>
          <t>EXCLUDE</t>
        </is>
      </c>
      <c r="C39" s="5" t="inlineStr">
        <is>
          <t>Under-18 + over-55 on Quiet Luxury and nightlife angles</t>
        </is>
      </c>
      <c r="D39" s="5" t="inlineStr">
        <is>
          <t>—</t>
        </is>
      </c>
      <c r="E39" s="5" t="inlineStr">
        <is>
          <t>KOPA Top of Funnel (Awareness)/Bottom of Funnel (Action)</t>
        </is>
      </c>
      <c r="F39" s="6" t="inlineStr">
        <is>
          <t>Creative and offer are 22-45 skewed; the review base for KOPA is dining-and-nightlife led</t>
        </is>
      </c>
    </row>
    <row r="41" ht="28" customHeight="1">
      <c r="A41" s="9" t="inlineStr">
        <is>
          <t>Six competitor lat/longs (Phoenix Avenue of Stars, Seasons, Pavillion, Amanora, Nexus, Sarath City, Inorbit) were not carried in the review scrape. Rather than invent a coordinate, the verified Google Place ID is supplied — paste it into Maps or the Places API to drop an exact pin. Every pin code shown was parsed out of the scraped Google address string.</t>
        </is>
      </c>
    </row>
  </sheetData>
  <mergeCells count="6">
    <mergeCell ref="A2:L2"/>
    <mergeCell ref="A25:L25"/>
    <mergeCell ref="A1:L1"/>
    <mergeCell ref="A18:L18"/>
    <mergeCell ref="A41:M41"/>
    <mergeCell ref="A4:L4"/>
  </mergeCells>
  <pageMargins left="0.75" right="0.75" top="1" bottom="1" header="0.5" footer="0.5"/>
</worksheet>
</file>

<file path=xl/worksheets/sheet4.xml><?xml version="1.0" encoding="utf-8"?>
<worksheet xmlns="http://schemas.openxmlformats.org/spreadsheetml/2006/main">
  <sheetPr>
    <tabColor rgb="009C4A1A"/>
    <outlinePr summaryBelow="1" summaryRight="1"/>
    <pageSetUpPr/>
  </sheetPr>
  <dimension ref="A1:L22"/>
  <sheetViews>
    <sheetView workbookViewId="0">
      <selection activeCell="A1" sqref="A1"/>
    </sheetView>
  </sheetViews>
  <sheetFormatPr baseColWidth="8" defaultRowHeight="15"/>
  <cols>
    <col width="7" customWidth="1" min="1" max="1"/>
    <col width="11" customWidth="1" min="2" max="2"/>
    <col width="26" customWidth="1" min="3" max="3"/>
    <col width="26" customWidth="1" min="4" max="4"/>
    <col width="46" customWidth="1" min="5" max="5"/>
    <col width="34" customWidth="1" min="6" max="6"/>
    <col width="40" customWidth="1" min="7" max="7"/>
    <col width="30" customWidth="1" min="8" max="8"/>
    <col width="30" customWidth="1" min="9" max="9"/>
    <col width="44" customWidth="1" min="10" max="10"/>
    <col width="74" customWidth="1" min="11" max="11"/>
  </cols>
  <sheetData>
    <row r="1" ht="30" customHeight="1">
      <c r="A1" s="16" t="inlineStr">
        <is>
          <t>3 · CREATIVE AD MATRIX — 0-3s HOOKS, 3-8s VALUE, SECONDS 8-15 — THE CALL TO ACTION</t>
        </is>
      </c>
    </row>
    <row r="2" ht="20" customHeight="1">
      <c r="A2" s="2" t="inlineStr">
        <is>
          <t>Every hook is reverse-engineered from a measured friction cluster, FAQ cluster or winning archetype. The 'Built from' column names the exact number it came from.</t>
        </is>
      </c>
    </row>
    <row r="4" ht="34" customHeight="1">
      <c r="A4" s="17" t="inlineStr">
        <is>
          <t>ID</t>
        </is>
      </c>
      <c r="B4" s="17" t="inlineStr">
        <is>
          <t>Asset</t>
        </is>
      </c>
      <c r="C4" s="17" t="inlineStr">
        <is>
          <t>Funnel</t>
        </is>
      </c>
      <c r="D4" s="17" t="inlineStr">
        <is>
          <t>Format &amp; Ratio</t>
        </is>
      </c>
      <c r="E4" s="17" t="inlineStr">
        <is>
          <t>FIRST 3 SECONDS — VISUAL HOOK (what the eye sees)</t>
        </is>
      </c>
      <c r="F4" s="17" t="inlineStr">
        <is>
          <t>FIRST 3 SECONDS — VOICEOVER / ON-SCREEN TEXT</t>
        </is>
      </c>
      <c r="G4" s="17" t="inlineStr">
        <is>
          <t>SECONDS 3-8 — THE VALUE PROPOSITION</t>
        </is>
      </c>
      <c r="H4" s="17" t="inlineStr">
        <is>
          <t>SECONDS 8-15 — THE CALL TO ACTION</t>
        </is>
      </c>
      <c r="I4" s="17" t="inlineStr">
        <is>
          <t>Audio pairing (Tab 8)</t>
        </is>
      </c>
      <c r="J4" s="17" t="inlineStr">
        <is>
          <t>Primary Text (paste-ready)</t>
        </is>
      </c>
      <c r="K4" s="17" t="inlineStr">
        <is>
          <t>Built from — the data behind it</t>
        </is>
      </c>
    </row>
    <row r="5">
      <c r="A5" s="5" t="inlineStr">
        <is>
          <t>C-01</t>
        </is>
      </c>
      <c r="B5" s="5" t="inlineStr">
        <is>
          <t>KOPA</t>
        </is>
      </c>
      <c r="C5" s="6" t="inlineStr">
        <is>
          <t>Top of Funnel (Awareness)</t>
        </is>
      </c>
      <c r="D5" s="6" t="inlineStr">
        <is>
          <t>Vertical Reel (9:16), 15 seconds</t>
        </is>
      </c>
      <c r="E5" s="6" t="inlineStr">
        <is>
          <t>Cold-open on an empty valet lane — car door opens, no queue, timestamp overlay '19:42, Saturday'</t>
        </is>
      </c>
      <c r="F5" s="6" t="inlineStr">
        <is>
          <t>'Saturday night. No parking queue.'</t>
        </is>
      </c>
      <c r="G5" s="6" t="inlineStr">
        <is>
          <t>Walk-in continuity shot: lobby → dining level → terrace, no cuts, no crowd</t>
        </is>
      </c>
      <c r="H5" s="6" t="inlineStr">
        <is>
          <t>'Koregaon Park Annexe. Valet from 11am.' + Get Directions</t>
        </is>
      </c>
      <c r="I5" s="6" t="inlineStr">
        <is>
          <t>Cinematic / orchestral (Classical Romantic, Potter Waltz)</t>
        </is>
      </c>
      <c r="J5" s="6" t="inlineStr">
        <is>
          <t>Saturday night in Koregaon Park, and the only queue is at the bar. KOPA. Mundhwa Road.</t>
        </is>
      </c>
      <c r="K5" s="6" t="inlineStr">
        <is>
          <t>Parking is the #1 friction word in KOPA's own 1-star and 2-star (18) AND in Phoenix Avenue of Stars's (62). Whoever solves it in the first 3 seconds owns the objection.</t>
        </is>
      </c>
    </row>
    <row r="6">
      <c r="A6" s="7" t="inlineStr">
        <is>
          <t>C-02</t>
        </is>
      </c>
      <c r="B6" s="7" t="inlineStr">
        <is>
          <t>KOPA</t>
        </is>
      </c>
      <c r="C6" s="8" t="inlineStr">
        <is>
          <t>Top of Funnel (Awareness)</t>
        </is>
      </c>
      <c r="D6" s="8" t="inlineStr">
        <is>
          <t>Vertical Reel (9:16), 20 seconds</t>
        </is>
      </c>
      <c r="E6" s="8" t="inlineStr">
        <is>
          <t>Slow push-in on a plated dish, then pull back to reveal the terrace skyline</t>
        </is>
      </c>
      <c r="F6" s="8" t="inlineStr">
        <is>
          <t>'The table you can actually get.'</t>
        </is>
      </c>
      <c r="G6" s="8" t="inlineStr">
        <is>
          <t>Three dining rooms in three cuts, each with a live table shown open</t>
        </is>
      </c>
      <c r="H6" s="8" t="inlineStr">
        <is>
          <t>'Book direct. Link in bio.'</t>
        </is>
      </c>
      <c r="I6" s="8" t="inlineStr">
        <is>
          <t>Trending Hindi romantic (Pardesiya, Tera Mera Rishta)</t>
        </is>
      </c>
      <c r="J6" s="8" t="inlineStr">
        <is>
          <t>Some malls make you wait. This one makes you a reservation.</t>
        </is>
      </c>
      <c r="K6" s="8" t="inlineStr">
        <is>
          <t>Dining wait is KOPA's #2 negative cluster (16) and Pavillion's #1 (17). 78 of 1,524 Instagram comments ask about tables.</t>
        </is>
      </c>
    </row>
    <row r="7">
      <c r="A7" s="5" t="inlineStr">
        <is>
          <t>C-03</t>
        </is>
      </c>
      <c r="B7" s="5" t="inlineStr">
        <is>
          <t>KOPA</t>
        </is>
      </c>
      <c r="C7" s="6" t="inlineStr">
        <is>
          <t>Top of Funnel (Awareness)</t>
        </is>
      </c>
      <c r="D7" s="6" t="inlineStr">
        <is>
          <t>Vertical Reel (9:16), 12 seconds</t>
        </is>
      </c>
      <c r="E7" s="6" t="inlineStr">
        <is>
          <t>Hands-only close-up sound: cutlery, pour, first bite. No face, no mall shot for 3 full seconds</t>
        </is>
      </c>
      <c r="F7" s="6" t="inlineStr">
        <is>
          <t>'Nobody comes to KOPA for the shopping.'</t>
        </is>
      </c>
      <c r="G7" s="6" t="inlineStr">
        <is>
          <t>Fast cut across 4 restaurants, price-neutral framing</t>
        </is>
      </c>
      <c r="H7" s="6" t="inlineStr">
        <is>
          <t>'Pune East. 12 min from Kalyani Nagar.'</t>
        </is>
      </c>
      <c r="I7" s="6" t="inlineStr">
        <is>
          <t>High-tempo electronic (Drinkee, Sirius)</t>
        </is>
      </c>
      <c r="J7" s="6" t="inlineStr">
        <is>
          <t>Four restaurants. One evening. Zero waitlist.</t>
        </is>
      </c>
      <c r="K7" s="6" t="inlineStr">
        <is>
          <t>Food-court/cafe vlogs are 35 of 179 scraped YouTube assets — the second-biggest archetype, and it out-performs shopping content.</t>
        </is>
      </c>
    </row>
    <row r="8">
      <c r="A8" s="7" t="inlineStr">
        <is>
          <t>C-04</t>
        </is>
      </c>
      <c r="B8" s="7" t="inlineStr">
        <is>
          <t>KOPA</t>
        </is>
      </c>
      <c r="C8" s="8" t="inlineStr">
        <is>
          <t>Top of Funnel (Awareness)</t>
        </is>
      </c>
      <c r="D8" s="8" t="inlineStr">
        <is>
          <t>Portrait Feed (4:5), static carousel</t>
        </is>
      </c>
      <c r="E8" s="8" t="inlineStr">
        <is>
          <t>Card 1 is a menu price, not a mall photo</t>
        </is>
      </c>
      <c r="F8" s="8" t="inlineStr">
        <is>
          <t>'₹—— for two. Yes, really.'</t>
        </is>
      </c>
      <c r="G8" s="8" t="inlineStr">
        <is>
          <t>Cards 2-5: one dish per restaurant with the actual price</t>
        </is>
      </c>
      <c r="H8" s="8" t="inlineStr">
        <is>
          <t>'Swipe for the full list.'</t>
        </is>
      </c>
      <c r="I8" s="8" t="inlineStr">
        <is>
          <t>Not applicable (static image)</t>
        </is>
      </c>
      <c r="J8" s="8" t="inlineStr">
        <is>
          <t>The Koregaon Park dinner list, priced.</t>
        </is>
      </c>
      <c r="K8" s="8" t="inlineStr">
        <is>
          <t>'Expensive/overpriced' appears 11 times in KOPA's 1-star and 2-star — pre-empt the price objection instead of hiding from it.</t>
        </is>
      </c>
    </row>
    <row r="9">
      <c r="A9" s="5" t="inlineStr">
        <is>
          <t>C-05</t>
        </is>
      </c>
      <c r="B9" s="5" t="inlineStr">
        <is>
          <t>KOPA</t>
        </is>
      </c>
      <c r="C9" s="6" t="inlineStr">
        <is>
          <t>Middle of Funnel (Consideration)</t>
        </is>
      </c>
      <c r="D9" s="6" t="inlineStr">
        <is>
          <t>Vertical Reel (9:16), 15 seconds</t>
        </is>
      </c>
      <c r="E9" s="6" t="inlineStr">
        <is>
          <t>Split screen: left = a 6-minute parking crawl, right = a 40-second valet handover</t>
        </is>
      </c>
      <c r="F9" s="6" t="inlineStr">
        <is>
          <t>'Viman Nagar parking vs Mundhwa Road parking.'</t>
        </is>
      </c>
      <c r="G9" s="6" t="inlineStr">
        <is>
          <t>Same evening, same plan, two very different first 10 minutes</t>
        </is>
      </c>
      <c r="H9" s="6" t="inlineStr">
        <is>
          <t>'Skip the crawl. KOPA, Koregaon Park Annexe.'</t>
        </is>
      </c>
      <c r="I9" s="6" t="inlineStr">
        <is>
          <t>Percussive/energetic (Energetic Upbeat)</t>
        </is>
      </c>
      <c r="J9" s="6" t="inlineStr">
        <is>
          <t>Ten minutes of your Saturday, back.</t>
        </is>
      </c>
      <c r="K9" s="6" t="inlineStr">
        <is>
          <t>Phoenix Avenue of Stars carries 62 parking mentions in 1-star and 2-star reviews — the single largest friction pool in the entire Pune dataset.</t>
        </is>
      </c>
    </row>
    <row r="10">
      <c r="A10" s="7" t="inlineStr">
        <is>
          <t>C-06</t>
        </is>
      </c>
      <c r="B10" s="7" t="inlineStr">
        <is>
          <t>KOPA</t>
        </is>
      </c>
      <c r="C10" s="8" t="inlineStr">
        <is>
          <t>Middle of Funnel (Consideration)</t>
        </is>
      </c>
      <c r="D10" s="8" t="inlineStr">
        <is>
          <t>Vertical Reel (9:16), 15 seconds</t>
        </is>
      </c>
      <c r="E10" s="8" t="inlineStr">
        <is>
          <t>Empty-corridor background footage of a generic large mall, then hard cut to a full KOPA terrace</t>
        </is>
      </c>
      <c r="F10" s="8" t="inlineStr">
        <is>
          <t>'Big mall. Empty floors.'</t>
        </is>
      </c>
      <c r="G10" s="8" t="inlineStr">
        <is>
          <t>Contrast: footfall density where it matters (dining, terrace, bar)</t>
        </is>
      </c>
      <c r="H10" s="8" t="inlineStr">
        <is>
          <t>'Come where the evening actually is.'</t>
        </is>
      </c>
      <c r="I10" s="8" t="inlineStr">
        <is>
          <t>Bollywood retro (Koi Ladki Hai, Ale)</t>
        </is>
      </c>
      <c r="J10" s="8" t="inlineStr">
        <is>
          <t>Not the biggest. Just the one people stay at.</t>
        </is>
      </c>
      <c r="K10" s="8" t="inlineStr">
        <is>
          <t>'Empty / nothing to do / boring' clusters appear across Amanora (1) and Phoenix Avenue of Stars (6) 1-star and 2-star; KOPA's evening dwell is its structural advantage.</t>
        </is>
      </c>
    </row>
    <row r="11">
      <c r="A11" s="5" t="inlineStr">
        <is>
          <t>C-07</t>
        </is>
      </c>
      <c r="B11" s="5" t="inlineStr">
        <is>
          <t>KOPA</t>
        </is>
      </c>
      <c r="C11" s="6" t="inlineStr">
        <is>
          <t>Middle of Funnel (Consideration)</t>
        </is>
      </c>
      <c r="D11" s="6" t="inlineStr">
        <is>
          <t>Vertical Reel (9:16), 20 seconds</t>
        </is>
      </c>
      <c r="E11" s="6" t="inlineStr">
        <is>
          <t>Creator's own point of view, entering from Hadapsar side, drive-time counter running on screen</t>
        </is>
      </c>
      <c r="F11" s="6" t="inlineStr">
        <is>
          <t>'Magarpatta to Koregaon Park: 18 minutes.'</t>
        </is>
      </c>
      <c r="G11" s="6" t="inlineStr">
        <is>
          <t>Drive-time proof, then the payoff shot</t>
        </is>
      </c>
      <c r="H11" s="6" t="inlineStr">
        <is>
          <t>'Save this for Friday.'</t>
        </is>
      </c>
      <c r="I11" s="6" t="inlineStr">
        <is>
          <t>Whitelisted creator's own trending audio</t>
        </is>
      </c>
      <c r="J11" s="6" t="inlineStr">
        <is>
          <t>18 minutes from Magarpatta. Worth every one of them.</t>
        </is>
      </c>
      <c r="K11" s="6" t="inlineStr">
        <is>
          <t>Amanora + Seasons together hold 2,700 reviews and sit in the 411013/411028 belt — a drive-time argument beats a discount argument here.</t>
        </is>
      </c>
    </row>
    <row r="12">
      <c r="A12" s="7" t="inlineStr">
        <is>
          <t>C-08</t>
        </is>
      </c>
      <c r="B12" s="7" t="inlineStr">
        <is>
          <t>YJN</t>
        </is>
      </c>
      <c r="C12" s="8" t="inlineStr">
        <is>
          <t>Top of Funnel (Awareness)</t>
        </is>
      </c>
      <c r="D12" s="8" t="inlineStr">
        <is>
          <t>Vertical Reel (9:16), 15 seconds</t>
        </is>
      </c>
      <c r="E12" s="8" t="inlineStr">
        <is>
          <t>Doors open on a bright, low-density concourse, wide lens, no people crush</t>
        </is>
      </c>
      <c r="F12" s="8" t="inlineStr">
        <is>
          <t>'A mall in KPHB where you can hear yourself think.'</t>
        </is>
      </c>
      <c r="G12" s="8" t="inlineStr">
        <is>
          <t>Three-cut tour: concourse, dining, kids zone — all uncrowded</t>
        </is>
      </c>
      <c r="H12" s="8" t="inlineStr">
        <is>
          <t>'Lake Shore Y Junction. Kukatpally.'</t>
        </is>
      </c>
      <c r="I12" s="8" t="inlineStr">
        <is>
          <t>Cinematic uplifting (Happy Life, Europe)</t>
        </is>
      </c>
      <c r="J12" s="8" t="inlineStr">
        <is>
          <t>Kukatpally, without the crush.</t>
        </is>
      </c>
      <c r="K12" s="8" t="inlineStr">
        <is>
          <t>Lulu Hyderabad carries 25 crowding + 24 dining-wait mentions in 1-star and 2-star, and 9.61% of all its reviews are 1-star and 2-star — the highest in the Y-Junction cluster.</t>
        </is>
      </c>
    </row>
    <row r="13">
      <c r="A13" s="5" t="inlineStr">
        <is>
          <t>C-09</t>
        </is>
      </c>
      <c r="B13" s="5" t="inlineStr">
        <is>
          <t>YJN</t>
        </is>
      </c>
      <c r="C13" s="6" t="inlineStr">
        <is>
          <t>Top of Funnel (Awareness)</t>
        </is>
      </c>
      <c r="D13" s="6" t="inlineStr">
        <is>
          <t>Vertical Reel (9:16), 20 seconds</t>
        </is>
      </c>
      <c r="E13" s="6" t="inlineStr">
        <is>
          <t>Washroom door opens — clean, lit, attended. Genuinely the opening frame.</t>
        </is>
      </c>
      <c r="F13" s="6" t="inlineStr">
        <is>
          <t>'Yes, we are opening an ad with the washrooms.'</t>
        </is>
      </c>
      <c r="G13" s="6" t="inlineStr">
        <is>
          <t>Cut to concourse, food court, family zone — all held to the same standard</t>
        </is>
      </c>
      <c r="H13" s="6" t="inlineStr">
        <is>
          <t>'Lake Shore Y Junction.'</t>
        </is>
      </c>
      <c r="I13" s="6" t="inlineStr">
        <is>
          <t>Quirky upbeat (Yadav Brand 2, KALYANI)</t>
        </is>
      </c>
      <c r="J13" s="6" t="inlineStr">
        <is>
          <t>We know what you check first.</t>
        </is>
      </c>
      <c r="K13" s="6" t="inlineStr">
        <is>
          <t>Washroom hygiene = 26 mentions in Lulu's 1-star and 2-star and 5 in Manjeera's. Nobody in this market advertises against it. That is the whole point.</t>
        </is>
      </c>
    </row>
    <row r="14">
      <c r="A14" s="7" t="inlineStr">
        <is>
          <t>C-10</t>
        </is>
      </c>
      <c r="B14" s="7" t="inlineStr">
        <is>
          <t>YJN</t>
        </is>
      </c>
      <c r="C14" s="8" t="inlineStr">
        <is>
          <t>Top of Funnel (Awareness)</t>
        </is>
      </c>
      <c r="D14" s="8" t="inlineStr">
        <is>
          <t>Vertical Reel (9:16), 12 seconds</t>
        </is>
      </c>
      <c r="E14" s="8" t="inlineStr">
        <is>
          <t>Clock overlay 19:10, commuter walks straight in from the road, no security queue</t>
        </is>
      </c>
      <c r="F14" s="8" t="inlineStr">
        <is>
          <t>'Hitec City to dinner: no detour.'</t>
        </is>
      </c>
      <c r="G14" s="8" t="inlineStr">
        <is>
          <t>Evening-commuter framing, weekday not weekend</t>
        </is>
      </c>
      <c r="H14" s="8" t="inlineStr">
        <is>
          <t>'Weeknights are the new weekend.'</t>
        </is>
      </c>
      <c r="I14" s="8" t="inlineStr">
        <is>
          <t>Ambient electronic</t>
        </is>
      </c>
      <c r="J14" s="8" t="inlineStr">
        <is>
          <t>On the way home. Not out of the way.</t>
        </is>
      </c>
      <c r="K14" s="8" t="inlineStr">
        <is>
          <t>Y Junction's Friday reach is 48.7M views — 5x its Monday. The weekday evening lane is underbought by every rival.</t>
        </is>
      </c>
    </row>
    <row r="15">
      <c r="A15" s="5" t="inlineStr">
        <is>
          <t>C-11</t>
        </is>
      </c>
      <c r="B15" s="5" t="inlineStr">
        <is>
          <t>YJN</t>
        </is>
      </c>
      <c r="C15" s="6" t="inlineStr">
        <is>
          <t>Middle of Funnel (Consideration)</t>
        </is>
      </c>
      <c r="D15" s="6" t="inlineStr">
        <is>
          <t>Vertical Reel (9:16), 15 seconds</t>
        </is>
      </c>
      <c r="E15" s="6" t="inlineStr">
        <is>
          <t>Side-by-side queue counters: rival food court vs Lake Shore, both real-time</t>
        </is>
      </c>
      <c r="F15" s="6" t="inlineStr">
        <is>
          <t>'Same hunger. Different wait.'</t>
        </is>
      </c>
      <c r="G15" s="6" t="inlineStr">
        <is>
          <t>Table-availability proof shot</t>
        </is>
      </c>
      <c r="H15" s="6" t="inlineStr">
        <is>
          <t>'Y Junction. Table now.'</t>
        </is>
      </c>
      <c r="I15" s="6" t="inlineStr">
        <is>
          <t>High-energy Telugu/Hindi trending</t>
        </is>
      </c>
      <c r="J15" s="6" t="inlineStr">
        <is>
          <t>Nobody plans a Sunday around a queue.</t>
        </is>
      </c>
      <c r="K15" s="6" t="inlineStr">
        <is>
          <t>Lulu 1-star and 2-star: 43 staff/service + 26 washroom + 25 crowding + 24 dining. Manjeera sits at a 3.97 rating — the weakest of all 12 malls audited.</t>
        </is>
      </c>
    </row>
    <row r="16">
      <c r="A16" s="7" t="inlineStr">
        <is>
          <t>C-12</t>
        </is>
      </c>
      <c r="B16" s="7" t="inlineStr">
        <is>
          <t>BOTH</t>
        </is>
      </c>
      <c r="C16" s="8" t="inlineStr">
        <is>
          <t>Bottom of Funnel (Action)</t>
        </is>
      </c>
      <c r="D16" s="8" t="inlineStr">
        <is>
          <t>Portrait Feed (4:5) and Stories</t>
        </is>
      </c>
      <c r="E16" s="8" t="inlineStr">
        <is>
          <t>Map pin animation dropping onto the mall roof, drive-time ring expanding</t>
        </is>
      </c>
      <c r="F16" s="8" t="inlineStr">
        <is>
          <t>'12 min away. Right now.'</t>
        </is>
      </c>
      <c r="G16" s="8" t="inlineStr">
        <is>
          <t>Opening hours, valet, and the one dish/store they engaged with</t>
        </is>
      </c>
      <c r="H16" s="8" t="inlineStr">
        <is>
          <t>'Get Directions'</t>
        </is>
      </c>
      <c r="I16" s="8" t="inlineStr">
        <is>
          <t>Not applicable</t>
        </is>
      </c>
      <c r="J16" s="8" t="inlineStr">
        <is>
          <t>Open till 11. Directions below.</t>
        </is>
      </c>
      <c r="K16" s="8" t="inlineStr">
        <is>
          <t>Direction clicks are the only near-real proxy for footfall; 23 Instagram comments are literally asking 'where is this'.</t>
        </is>
      </c>
    </row>
    <row r="17">
      <c r="A17" s="5" t="inlineStr">
        <is>
          <t>C-13</t>
        </is>
      </c>
      <c r="B17" s="5" t="inlineStr">
        <is>
          <t>KOPA</t>
        </is>
      </c>
      <c r="C17" s="6" t="inlineStr">
        <is>
          <t>Bottom of Funnel (Action)</t>
        </is>
      </c>
      <c r="D17" s="6" t="inlineStr">
        <is>
          <t>Vertical Reel (9:16), 10 seconds</t>
        </is>
      </c>
      <c r="E17" s="6" t="inlineStr">
        <is>
          <t>QR code held up at the valet desk, scan animation completes on screen</t>
        </is>
      </c>
      <c r="F17" s="6" t="inlineStr">
        <is>
          <t>'Free valet, this weekend.'</t>
        </is>
      </c>
      <c r="G17" s="6" t="inlineStr">
        <is>
          <t>One benefit, one condition, no clutter</t>
        </is>
      </c>
      <c r="H17" s="6" t="inlineStr">
        <is>
          <t>'Scan at the valet desk.'</t>
        </is>
      </c>
      <c r="I17" s="6" t="inlineStr">
        <is>
          <t>Not applicable</t>
        </is>
      </c>
      <c r="J17" s="6" t="inlineStr">
        <is>
          <t>Your first hour of valet is on us.</t>
        </is>
      </c>
      <c r="K17" s="6" t="inlineStr">
        <is>
          <t>Converts KOPA's own top complaint (parking, 18 mentions) into the offer that drives the offline conversion event.</t>
        </is>
      </c>
    </row>
    <row r="18">
      <c r="A18" s="7" t="inlineStr">
        <is>
          <t>C-14</t>
        </is>
      </c>
      <c r="B18" s="7" t="inlineStr">
        <is>
          <t>YJN</t>
        </is>
      </c>
      <c r="C18" s="8" t="inlineStr">
        <is>
          <t>Bottom of Funnel (Action)</t>
        </is>
      </c>
      <c r="D18" s="8" t="inlineStr">
        <is>
          <t>Vertical Reel (9:16), 12 seconds</t>
        </is>
      </c>
      <c r="E18" s="8" t="inlineStr">
        <is>
          <t>Table being set, reservation card placed, timestamp 20:00 Saturday</t>
        </is>
      </c>
      <c r="F18" s="8" t="inlineStr">
        <is>
          <t>'Held till 8:15.'</t>
        </is>
      </c>
      <c r="G18" s="8" t="inlineStr">
        <is>
          <t>Restaurant name, cuisine, and the hold window</t>
        </is>
      </c>
      <c r="H18" s="8" t="inlineStr">
        <is>
          <t>'Reserve by Direct Message.'</t>
        </is>
      </c>
      <c r="I18" s="8" t="inlineStr">
        <is>
          <t>Not applicable</t>
        </is>
      </c>
      <c r="J18" s="8" t="inlineStr">
        <is>
          <t>We'll hold the table. You just show up.</t>
        </is>
      </c>
      <c r="K18" s="8" t="inlineStr">
        <is>
          <t>78 dining/booking comments — the largest single FAQ cluster in the 1,524-comment set.</t>
        </is>
      </c>
    </row>
    <row r="19">
      <c r="A19" s="5" t="inlineStr">
        <is>
          <t>C-15</t>
        </is>
      </c>
      <c r="B19" s="5" t="inlineStr">
        <is>
          <t>BOTH</t>
        </is>
      </c>
      <c r="C19" s="6" t="inlineStr">
        <is>
          <t>TEST</t>
        </is>
      </c>
      <c r="D19" s="6" t="inlineStr">
        <is>
          <t>Vertical Reel (9:16), 6 seconds</t>
        </is>
      </c>
      <c r="E19" s="6" t="inlineStr">
        <is>
          <t>Six different opening 3 seconds on identical 3-15 second bodies</t>
        </is>
      </c>
      <c r="F19" s="6" t="inlineStr">
        <is>
          <t>6 hook variants, one per cell</t>
        </is>
      </c>
      <c r="G19" s="6" t="inlineStr">
        <is>
          <t>Constant</t>
        </is>
      </c>
      <c r="H19" s="6" t="inlineStr">
        <is>
          <t>Constant</t>
        </is>
      </c>
      <c r="I19" s="6" t="inlineStr">
        <is>
          <t>Rotating</t>
        </is>
      </c>
      <c r="J19" s="6" t="inlineStr">
        <is>
          <t>—</t>
        </is>
      </c>
      <c r="K19" s="6" t="inlineStr">
        <is>
          <t>91% of 425 scraped competitor ads use the same 'Learn More' Call to Action and generic body copy. Hook variance is the cheapest available edge in this auction.</t>
        </is>
      </c>
    </row>
    <row r="20">
      <c r="A20" s="7" t="inlineStr">
        <is>
          <t>C-16</t>
        </is>
      </c>
      <c r="B20" s="7" t="inlineStr">
        <is>
          <t>BOTH</t>
        </is>
      </c>
      <c r="C20" s="8" t="inlineStr">
        <is>
          <t>Middle of Funnel (Consideration)</t>
        </is>
      </c>
      <c r="D20" s="8" t="inlineStr">
        <is>
          <t>Vertical Partnership Ad (9:16)</t>
        </is>
      </c>
      <c r="E20" s="8" t="inlineStr">
        <is>
          <t>Creator's own opening frame, unbranded for the first 2 seconds</t>
        </is>
      </c>
      <c r="F20" s="8" t="inlineStr">
        <is>
          <t>Creator's own voice, not a script</t>
        </is>
      </c>
      <c r="G20" s="8" t="inlineStr">
        <is>
          <t>Creator walks their own route through the mall</t>
        </is>
      </c>
      <c r="H20" s="8" t="inlineStr">
        <is>
          <t>'Tap to see where I went.'</t>
        </is>
      </c>
      <c r="I20" s="8" t="inlineStr">
        <is>
          <t>Creator's own audio</t>
        </is>
      </c>
      <c r="J20" s="8" t="inlineStr">
        <is>
          <t>—</t>
        </is>
      </c>
      <c r="K20" s="8" t="inlineStr">
        <is>
          <t>KOPA works with 123 creators and Y Junction with 144 — more than any competitor — yet ZERO posts on either handle were detected as boosted.</t>
        </is>
      </c>
    </row>
    <row r="22" ht="28" customHeight="1">
      <c r="A22" s="9" t="inlineStr">
        <is>
          <t>[FROM THE DATA] The 'Built from' column and every number inside it is computed from the scraped files. [PLANNING] The scripts, hooks and copy lines themselves are creative work product — shoot them, test them, kill the ones that lose.</t>
        </is>
      </c>
    </row>
  </sheetData>
  <autoFilter ref="A4:K20"/>
  <mergeCells count="3">
    <mergeCell ref="A2:L2"/>
    <mergeCell ref="A1:L1"/>
    <mergeCell ref="A22:K22"/>
  </mergeCells>
  <pageMargins left="0.75" right="0.75" top="1" bottom="1" header="0.5" footer="0.5"/>
</worksheet>
</file>

<file path=xl/worksheets/sheet5.xml><?xml version="1.0" encoding="utf-8"?>
<worksheet xmlns="http://schemas.openxmlformats.org/spreadsheetml/2006/main">
  <sheetPr>
    <tabColor rgb="003F6212"/>
    <outlinePr summaryBelow="1" summaryRight="1"/>
    <pageSetUpPr/>
  </sheetPr>
  <dimension ref="A1:M106"/>
  <sheetViews>
    <sheetView workbookViewId="0">
      <selection activeCell="A1" sqref="A1"/>
    </sheetView>
  </sheetViews>
  <sheetFormatPr baseColWidth="8" defaultRowHeight="15"/>
  <cols>
    <col width="6" customWidth="1" min="1" max="1"/>
    <col width="26" customWidth="1" min="2" max="2"/>
    <col width="26" customWidth="1" min="3" max="3"/>
    <col width="12" customWidth="1" min="4" max="4"/>
    <col width="26" customWidth="1" min="5" max="5"/>
    <col width="34" customWidth="1" min="6" max="6"/>
    <col width="44" customWidth="1" min="7" max="7"/>
    <col width="9" customWidth="1" min="8" max="8"/>
    <col width="16" customWidth="1" min="9" max="9"/>
    <col width="16" customWidth="1" min="10" max="10"/>
    <col width="34" customWidth="1" min="11" max="11"/>
    <col width="52" customWidth="1" min="12" max="12"/>
    <col width="40" customWidth="1" min="13" max="13"/>
  </cols>
  <sheetData>
    <row r="1" ht="30" customHeight="1">
      <c r="A1" s="18" t="inlineStr">
        <is>
          <t>4 · CREATOR WHITELISTING MATRIX — 586 AUDITED CREATORS, TIERED AND FLAGGED</t>
        </is>
      </c>
    </row>
    <row r="2" ht="20" customHeight="1">
      <c r="A2" s="2" t="inlineStr">
        <is>
          <t>Loyalist = worked with one mall only. Mercenary = worked with 2+ malls (they will take a competitor brief next month). Poach target = high-view creator whose primary mall is a competitor.</t>
        </is>
      </c>
    </row>
    <row r="4" ht="22" customHeight="1">
      <c r="A4" s="19" t="inlineStr">
        <is>
          <t>A · TIER SUMMARY ACROSS ALL 586 CREATORS</t>
        </is>
      </c>
    </row>
    <row r="5" ht="34" customHeight="1">
      <c r="A5" s="20" t="inlineStr">
        <is>
          <t>Scale Tier</t>
        </is>
      </c>
      <c r="B5" s="20" t="inlineStr">
        <is>
          <t>Creators</t>
        </is>
      </c>
      <c r="C5" s="20" t="inlineStr">
        <is>
          <t>Total collabs</t>
        </is>
      </c>
      <c r="D5" s="20" t="inlineStr">
        <is>
          <t>Total views generated</t>
        </is>
      </c>
      <c r="E5" s="20" t="inlineStr">
        <is>
          <t>Average views per collaboration</t>
        </is>
      </c>
      <c r="F5" s="20" t="inlineStr">
        <is>
          <t>Loyalists (1 mall)</t>
        </is>
      </c>
      <c r="G5" s="20" t="inlineStr">
        <is>
          <t>Multi-mall</t>
        </is>
      </c>
      <c r="H5" s="20" t="inlineStr">
        <is>
          <t>Partnership-Ad spend multiplier [PLANNING]</t>
        </is>
      </c>
      <c r="I5" s="20" t="inlineStr">
        <is>
          <t>How to buy this tier</t>
        </is>
      </c>
    </row>
    <row r="6">
      <c r="A6" s="5" t="inlineStr">
        <is>
          <t>🌟 Mega Creator (1M+)</t>
        </is>
      </c>
      <c r="B6" s="5" t="n">
        <v>45</v>
      </c>
      <c r="C6" s="5" t="n">
        <v>200</v>
      </c>
      <c r="D6" s="5" t="n">
        <v>38052215</v>
      </c>
      <c r="E6" s="5" t="n">
        <v>190261</v>
      </c>
      <c r="F6" s="5" t="n">
        <v>41</v>
      </c>
      <c r="G6" s="5" t="n">
        <v>4</v>
      </c>
      <c r="H6" s="6" t="inlineStr">
        <is>
          <t>0.5x — reach insurance only, cap at 10% of budget</t>
        </is>
      </c>
      <c r="I6" s="6" t="inlineStr">
        <is>
          <t>One flagship per quarter. Whitelist, do not just repost.</t>
        </is>
      </c>
    </row>
    <row r="7">
      <c r="A7" s="7" t="inlineStr">
        <is>
          <t>🚀 Macro Creator (100K-1M)</t>
        </is>
      </c>
      <c r="B7" s="7" t="n">
        <v>182</v>
      </c>
      <c r="C7" s="7" t="n">
        <v>578</v>
      </c>
      <c r="D7" s="7" t="n">
        <v>101323498</v>
      </c>
      <c r="E7" s="7" t="n">
        <v>175300</v>
      </c>
      <c r="F7" s="7" t="n">
        <v>157</v>
      </c>
      <c r="G7" s="7" t="n">
        <v>25</v>
      </c>
      <c r="H7" s="8" t="inlineStr">
        <is>
          <t>1.5x — the workhorse tier for Partnership Ads</t>
        </is>
      </c>
      <c r="I7" s="8" t="inlineStr">
        <is>
          <t>Always-on roster of 6-8, rotate every 6 weeks.</t>
        </is>
      </c>
    </row>
    <row r="8">
      <c r="A8" s="5" t="inlineStr">
        <is>
          <t>✨ Mid-Tier (50K-100K)</t>
        </is>
      </c>
      <c r="B8" s="5" t="n">
        <v>88</v>
      </c>
      <c r="C8" s="5" t="n">
        <v>266</v>
      </c>
      <c r="D8" s="5" t="n">
        <v>65630595</v>
      </c>
      <c r="E8" s="5" t="n">
        <v>246731</v>
      </c>
      <c r="F8" s="5" t="n">
        <v>77</v>
      </c>
      <c r="G8" s="5" t="n">
        <v>11</v>
      </c>
      <c r="H8" s="6" t="inlineStr">
        <is>
          <t>2.0x — best view-per-rupee in this dataset</t>
        </is>
      </c>
      <c r="I8" s="6" t="inlineStr">
        <is>
          <t>Scale hardest here — 88 creators available, and the top mid-tier names carry 5-8M view totals.</t>
        </is>
      </c>
    </row>
    <row r="9">
      <c r="A9" s="7" t="inlineStr">
        <is>
          <t>🎯 Micro (10K-50K)</t>
        </is>
      </c>
      <c r="B9" s="7" t="n">
        <v>127</v>
      </c>
      <c r="C9" s="7" t="n">
        <v>453</v>
      </c>
      <c r="D9" s="7" t="n">
        <v>124414069</v>
      </c>
      <c r="E9" s="7" t="n">
        <v>274644</v>
      </c>
      <c r="F9" s="7" t="n">
        <v>120</v>
      </c>
      <c r="G9" s="7" t="n">
        <v>7</v>
      </c>
      <c r="H9" s="8" t="inlineStr">
        <is>
          <t>2.5x — highest whitelisting ROI, lowest fee</t>
        </is>
      </c>
      <c r="I9" s="8" t="inlineStr">
        <is>
          <t>Volume layer. 20+ live at once, whitelist the top decile after 14 days.</t>
        </is>
      </c>
    </row>
    <row r="10">
      <c r="A10" s="5" t="inlineStr">
        <is>
          <t>🌱 Nano (&lt;10K)</t>
        </is>
      </c>
      <c r="B10" s="5" t="n">
        <v>144</v>
      </c>
      <c r="C10" s="5" t="n">
        <v>351</v>
      </c>
      <c r="D10" s="5" t="n">
        <v>62027408</v>
      </c>
      <c r="E10" s="5" t="n">
        <v>176716</v>
      </c>
      <c r="F10" s="5" t="n">
        <v>140</v>
      </c>
      <c r="G10" s="5" t="n">
        <v>4</v>
      </c>
      <c r="H10" s="6" t="inlineStr">
        <is>
          <t>1.0x — barter + boost, no fee</t>
        </is>
      </c>
      <c r="I10" s="6" t="inlineStr">
        <is>
          <t>Barter for footfall proof, boost only the outliers.</t>
        </is>
      </c>
    </row>
    <row r="11">
      <c r="A11" s="21" t="inlineStr">
        <is>
          <t>TOTAL</t>
        </is>
      </c>
      <c r="B11" s="21" t="n">
        <v>586</v>
      </c>
      <c r="C11" s="21" t="n">
        <v>1848</v>
      </c>
      <c r="D11" s="21" t="n">
        <v>391447785</v>
      </c>
      <c r="E11" s="21" t="n">
        <v>211822</v>
      </c>
      <c r="F11" s="21" t="n">
        <v>535</v>
      </c>
      <c r="G11" s="21" t="n">
        <v>51</v>
      </c>
      <c r="H11" s="22" t="inlineStr">
        <is>
          <t>—</t>
        </is>
      </c>
      <c r="I11" s="22" t="inlineStr">
        <is>
          <t>—</t>
        </is>
      </c>
    </row>
    <row r="13" ht="22" customHeight="1">
      <c r="A13" s="19" t="inlineStr">
        <is>
          <t>B · WHITELISTING ROSTER — TOP 90 CREATORS BY VIEWS GENERATED</t>
        </is>
      </c>
    </row>
    <row r="14" ht="34" customHeight="1">
      <c r="A14" s="20" t="inlineStr">
        <is>
          <t>Rank</t>
        </is>
      </c>
      <c r="B14" s="20" t="inlineStr">
        <is>
          <t>Handle</t>
        </is>
      </c>
      <c r="C14" s="20" t="inlineStr">
        <is>
          <t>Full Name</t>
        </is>
      </c>
      <c r="D14" s="20" t="inlineStr">
        <is>
          <t>Followers</t>
        </is>
      </c>
      <c r="E14" s="20" t="inlineStr">
        <is>
          <t>Scale Tier</t>
        </is>
      </c>
      <c r="F14" s="20" t="inlineStr">
        <is>
          <t>Primary Mall</t>
        </is>
      </c>
      <c r="G14" s="20" t="inlineStr">
        <is>
          <t>Malls worked with</t>
        </is>
      </c>
      <c r="H14" s="20" t="inlineStr">
        <is>
          <t>Collabs</t>
        </is>
      </c>
      <c r="I14" s="20" t="inlineStr">
        <is>
          <t>Views generated</t>
        </is>
      </c>
      <c r="J14" s="20" t="inlineStr">
        <is>
          <t>Average views per collaboration</t>
        </is>
      </c>
      <c r="K14" s="20" t="inlineStr">
        <is>
          <t>Loyalty flag</t>
        </is>
      </c>
      <c r="L14" s="20" t="inlineStr">
        <is>
          <t>Whitelisting action</t>
        </is>
      </c>
      <c r="M14" s="20" t="inlineStr">
        <is>
          <t>Profile URL</t>
        </is>
      </c>
    </row>
    <row r="15">
      <c r="A15" s="5" t="n">
        <v>1</v>
      </c>
      <c r="B15" s="5" t="inlineStr">
        <is>
          <t>@funtura.in</t>
        </is>
      </c>
      <c r="C15" s="5" t="inlineStr">
        <is>
          <t>Funtura - Indoor Amusement Park</t>
        </is>
      </c>
      <c r="D15" s="5" t="n">
        <v>33000</v>
      </c>
      <c r="E15" s="5" t="inlineStr">
        <is>
          <t>🎯 Micro (10K-50K)</t>
        </is>
      </c>
      <c r="F15" s="5" t="inlineStr">
        <is>
          <t>Lulu Mall Hyderabad</t>
        </is>
      </c>
      <c r="G15" s="6" t="inlineStr">
        <is>
          <t>Lulu Mall Hyderabad</t>
        </is>
      </c>
      <c r="H15" s="5" t="n">
        <v>58</v>
      </c>
      <c r="I15" s="5" t="n">
        <v>37667252</v>
      </c>
      <c r="J15" s="5" t="n">
        <v>649435</v>
      </c>
      <c r="K15" s="6" t="inlineStr">
        <is>
          <t>🎯 Competitor loyalist — poach target</t>
        </is>
      </c>
      <c r="L15" s="6" t="inlineStr">
        <is>
          <t>Poach: offer whitelist fee, rival is not boosting them</t>
        </is>
      </c>
      <c r="M15" s="5" t="inlineStr">
        <is>
          <t>https://www.instagram.com/funtura.in/</t>
        </is>
      </c>
    </row>
    <row r="16">
      <c r="A16" s="7" t="n">
        <v>2</v>
      </c>
      <c r="B16" s="7" t="inlineStr">
        <is>
          <t>@iamelnaaz</t>
        </is>
      </c>
      <c r="C16" s="7" t="inlineStr">
        <is>
          <t>Elnaaz Norouzi</t>
        </is>
      </c>
      <c r="D16" s="7" t="n">
        <v>3000000</v>
      </c>
      <c r="E16" s="7" t="inlineStr">
        <is>
          <t>🌟 Mega Creator (1M+)</t>
        </is>
      </c>
      <c r="F16" s="7" t="inlineStr">
        <is>
          <t>KOPA Mall Pune (Lake Shore)</t>
        </is>
      </c>
      <c r="G16" s="8" t="inlineStr">
        <is>
          <t>KOPA Mall Pune (Lake Shore)</t>
        </is>
      </c>
      <c r="H16" s="7" t="n">
        <v>6</v>
      </c>
      <c r="I16" s="7" t="n">
        <v>19729889</v>
      </c>
      <c r="J16" s="7" t="n">
        <v>3288314</v>
      </c>
      <c r="K16" s="8" t="inlineStr">
        <is>
          <t>✅ Lake Shore loyalist</t>
        </is>
      </c>
      <c r="L16" s="8" t="inlineStr">
        <is>
          <t>Whitelist now (Partnership Ad code) + exclusivity clause</t>
        </is>
      </c>
      <c r="M16" s="7" t="inlineStr">
        <is>
          <t>https://www.instagram.com/iamelnaaz/</t>
        </is>
      </c>
    </row>
    <row r="17">
      <c r="A17" s="5" t="n">
        <v>3</v>
      </c>
      <c r="B17" s="5" t="inlineStr">
        <is>
          <t>@fiza_by_nexus</t>
        </is>
      </c>
      <c r="C17" s="5" t="inlineStr">
        <is>
          <t>Fiza by Nexus</t>
        </is>
      </c>
      <c r="D17" s="5" t="n">
        <v>20000</v>
      </c>
      <c r="E17" s="5" t="inlineStr">
        <is>
          <t>🎯 Micro (10K-50K)</t>
        </is>
      </c>
      <c r="F17" s="5" t="inlineStr">
        <is>
          <t>Nexus Hyderabad Mall</t>
        </is>
      </c>
      <c r="G17" s="6" t="inlineStr">
        <is>
          <t>Nexus Hyderabad Mall</t>
        </is>
      </c>
      <c r="H17" s="5" t="n">
        <v>2</v>
      </c>
      <c r="I17" s="5" t="n">
        <v>12338368</v>
      </c>
      <c r="J17" s="5" t="n">
        <v>6169184</v>
      </c>
      <c r="K17" s="6" t="inlineStr">
        <is>
          <t>🎯 Competitor loyalist — poach target</t>
        </is>
      </c>
      <c r="L17" s="6" t="inlineStr">
        <is>
          <t>Poach: offer whitelist fee, rival is not boosting them</t>
        </is>
      </c>
      <c r="M17" s="5" t="inlineStr">
        <is>
          <t>https://www.instagram.com/fiza_by_nexus/</t>
        </is>
      </c>
    </row>
    <row r="18">
      <c r="A18" s="7" t="n">
        <v>4</v>
      </c>
      <c r="B18" s="7" t="inlineStr">
        <is>
          <t>@anchorchetanagarwal</t>
        </is>
      </c>
      <c r="C18" s="7" t="inlineStr">
        <is>
          <t>Chetan Agarwal</t>
        </is>
      </c>
      <c r="D18" s="7" t="n">
        <v>87000</v>
      </c>
      <c r="E18" s="7" t="inlineStr">
        <is>
          <t>✨ Mid-Tier (50K-100K)</t>
        </is>
      </c>
      <c r="F18" s="7" t="inlineStr">
        <is>
          <t>Seasons Mall Pune</t>
        </is>
      </c>
      <c r="G18" s="8" t="inlineStr">
        <is>
          <t>Seasons Mall Pune</t>
        </is>
      </c>
      <c r="H18" s="7" t="n">
        <v>7</v>
      </c>
      <c r="I18" s="7" t="n">
        <v>8064596</v>
      </c>
      <c r="J18" s="7" t="n">
        <v>1152085</v>
      </c>
      <c r="K18" s="8" t="inlineStr">
        <is>
          <t>🎯 Competitor loyalist — poach target</t>
        </is>
      </c>
      <c r="L18" s="8" t="inlineStr">
        <is>
          <t>Poach: offer whitelist fee, rival is not boosting them</t>
        </is>
      </c>
      <c r="M18" s="7" t="inlineStr">
        <is>
          <t>https://www.instagram.com/anchorchetanagarwal/</t>
        </is>
      </c>
    </row>
    <row r="19">
      <c r="A19" s="5" t="n">
        <v>5</v>
      </c>
      <c r="B19" s="5" t="inlineStr">
        <is>
          <t>@pupulbhuyan</t>
        </is>
      </c>
      <c r="C19" s="5" t="inlineStr">
        <is>
          <t>PUPUL BHUYAN</t>
        </is>
      </c>
      <c r="D19" s="5" t="n">
        <v>268000</v>
      </c>
      <c r="E19" s="5" t="inlineStr">
        <is>
          <t>🚀 Macro Creator (100K-1M)</t>
        </is>
      </c>
      <c r="F19" s="5" t="inlineStr">
        <is>
          <t>Nexus Hyderabad Mall</t>
        </is>
      </c>
      <c r="G19" s="6" t="inlineStr">
        <is>
          <t>Nexus Hyderabad Mall</t>
        </is>
      </c>
      <c r="H19" s="5" t="n">
        <v>1</v>
      </c>
      <c r="I19" s="5" t="n">
        <v>8009494</v>
      </c>
      <c r="J19" s="5" t="n">
        <v>8009494</v>
      </c>
      <c r="K19" s="6" t="inlineStr">
        <is>
          <t>🎯 Competitor loyalist — poach target</t>
        </is>
      </c>
      <c r="L19" s="6" t="inlineStr">
        <is>
          <t>Poach: offer whitelist fee, rival is not boosting them</t>
        </is>
      </c>
      <c r="M19" s="5" t="inlineStr">
        <is>
          <t>https://www.instagram.com/pupulbhuyan/</t>
        </is>
      </c>
    </row>
    <row r="20">
      <c r="A20" s="7" t="n">
        <v>6</v>
      </c>
      <c r="B20" s="7" t="inlineStr">
        <is>
          <t>@in.her.wardrobe</t>
        </is>
      </c>
      <c r="C20" s="7" t="inlineStr">
        <is>
          <t>Meghna Govindaraju</t>
        </is>
      </c>
      <c r="D20" s="7" t="n">
        <v>56000</v>
      </c>
      <c r="E20" s="7" t="inlineStr">
        <is>
          <t>✨ Mid-Tier (50K-100K)</t>
        </is>
      </c>
      <c r="F20" s="7" t="inlineStr">
        <is>
          <t>Nexus Hyderabad Mall</t>
        </is>
      </c>
      <c r="G20" s="8" t="inlineStr">
        <is>
          <t>Nexus Hyderabad Mall</t>
        </is>
      </c>
      <c r="H20" s="7" t="n">
        <v>7</v>
      </c>
      <c r="I20" s="7" t="n">
        <v>7089116</v>
      </c>
      <c r="J20" s="7" t="n">
        <v>1012730</v>
      </c>
      <c r="K20" s="8" t="inlineStr">
        <is>
          <t>🎯 Competitor loyalist — poach target</t>
        </is>
      </c>
      <c r="L20" s="8" t="inlineStr">
        <is>
          <t>Poach: offer whitelist fee, rival is not boosting them</t>
        </is>
      </c>
      <c r="M20" s="7" t="inlineStr">
        <is>
          <t>https://www.instagram.com/in.her.wardrobe/</t>
        </is>
      </c>
    </row>
    <row r="21">
      <c r="A21" s="5" t="n">
        <v>7</v>
      </c>
      <c r="B21" s="5" t="inlineStr">
        <is>
          <t>@luluhappiness.in</t>
        </is>
      </c>
      <c r="C21" s="5" t="inlineStr">
        <is>
          <t>LuLu Happiness</t>
        </is>
      </c>
      <c r="D21" s="5" t="n">
        <v>9254</v>
      </c>
      <c r="E21" s="5" t="inlineStr">
        <is>
          <t>🌱 Nano (&lt;10K)</t>
        </is>
      </c>
      <c r="F21" s="5" t="inlineStr">
        <is>
          <t>Lulu Mall Hyderabad</t>
        </is>
      </c>
      <c r="G21" s="6" t="inlineStr">
        <is>
          <t>Lulu Mall Hyderabad</t>
        </is>
      </c>
      <c r="H21" s="5" t="n">
        <v>6</v>
      </c>
      <c r="I21" s="5" t="n">
        <v>6485506</v>
      </c>
      <c r="J21" s="5" t="n">
        <v>1080917</v>
      </c>
      <c r="K21" s="6" t="inlineStr">
        <is>
          <t>🎯 Competitor loyalist — poach target</t>
        </is>
      </c>
      <c r="L21" s="6" t="inlineStr">
        <is>
          <t>Poach: offer whitelist fee, rival is not boosting them</t>
        </is>
      </c>
      <c r="M21" s="5" t="inlineStr">
        <is>
          <t>https://www.instagram.com/luluhappiness.in/</t>
        </is>
      </c>
    </row>
    <row r="22">
      <c r="A22" s="7" t="n">
        <v>8</v>
      </c>
      <c r="B22" s="7" t="inlineStr">
        <is>
          <t>@jubilant_events_productions</t>
        </is>
      </c>
      <c r="C22" s="7" t="inlineStr">
        <is>
          <t>Jubilant Group India</t>
        </is>
      </c>
      <c r="D22" s="7" t="n">
        <v>5171</v>
      </c>
      <c r="E22" s="7" t="inlineStr">
        <is>
          <t>🌱 Nano (&lt;10K)</t>
        </is>
      </c>
      <c r="F22" s="7" t="inlineStr">
        <is>
          <t>Seasons Mall Pune</t>
        </is>
      </c>
      <c r="G22" s="8" t="inlineStr">
        <is>
          <t>Seasons Mall Pune</t>
        </is>
      </c>
      <c r="H22" s="7" t="n">
        <v>2</v>
      </c>
      <c r="I22" s="7" t="n">
        <v>6129735</v>
      </c>
      <c r="J22" s="7" t="n">
        <v>3064867</v>
      </c>
      <c r="K22" s="8" t="inlineStr">
        <is>
          <t>🎯 Competitor loyalist — poach target</t>
        </is>
      </c>
      <c r="L22" s="8" t="inlineStr">
        <is>
          <t>Poach: offer whitelist fee, rival is not boosting them</t>
        </is>
      </c>
      <c r="M22" s="7" t="inlineStr">
        <is>
          <t>https://www.instagram.com/jubilant_events_productions/</t>
        </is>
      </c>
    </row>
    <row r="23">
      <c r="A23" s="5" t="n">
        <v>9</v>
      </c>
      <c r="B23" s="5" t="inlineStr">
        <is>
          <t>@anchor_neetu</t>
        </is>
      </c>
      <c r="C23" s="5" t="inlineStr">
        <is>
          <t>Neetu Bhatia</t>
        </is>
      </c>
      <c r="D23" s="5" t="n">
        <v>86000</v>
      </c>
      <c r="E23" s="5" t="inlineStr">
        <is>
          <t>✨ Mid-Tier (50K-100K)</t>
        </is>
      </c>
      <c r="F23" s="5" t="inlineStr">
        <is>
          <t>Seasons Mall Pune</t>
        </is>
      </c>
      <c r="G23" s="6" t="inlineStr">
        <is>
          <t>Seasons Mall Pune</t>
        </is>
      </c>
      <c r="H23" s="5" t="n">
        <v>3</v>
      </c>
      <c r="I23" s="5" t="n">
        <v>5928141</v>
      </c>
      <c r="J23" s="5" t="n">
        <v>1976047</v>
      </c>
      <c r="K23" s="6" t="inlineStr">
        <is>
          <t>🎯 Competitor loyalist — poach target</t>
        </is>
      </c>
      <c r="L23" s="6" t="inlineStr">
        <is>
          <t>Poach: offer whitelist fee, rival is not boosting them</t>
        </is>
      </c>
      <c r="M23" s="5" t="inlineStr">
        <is>
          <t>https://www.instagram.com/anchor_neetu/</t>
        </is>
      </c>
    </row>
    <row r="24">
      <c r="A24" s="7" t="n">
        <v>10</v>
      </c>
      <c r="B24" s="7" t="inlineStr">
        <is>
          <t>@freshpik_official</t>
        </is>
      </c>
      <c r="C24" s="7" t="inlineStr">
        <is>
          <t>freshpik</t>
        </is>
      </c>
      <c r="D24" s="7" t="n">
        <v>19000</v>
      </c>
      <c r="E24" s="7" t="inlineStr">
        <is>
          <t>🎯 Micro (10K-50K)</t>
        </is>
      </c>
      <c r="F24" s="7" t="inlineStr">
        <is>
          <t>Phoenix Avenue of Stars Pune</t>
        </is>
      </c>
      <c r="G24" s="8" t="inlineStr">
        <is>
          <t>Phoenix Avenue of Stars Pune</t>
        </is>
      </c>
      <c r="H24" s="7" t="n">
        <v>5</v>
      </c>
      <c r="I24" s="7" t="n">
        <v>5537455</v>
      </c>
      <c r="J24" s="7" t="n">
        <v>1107491</v>
      </c>
      <c r="K24" s="8" t="inlineStr">
        <is>
          <t>🎯 Competitor loyalist — poach target</t>
        </is>
      </c>
      <c r="L24" s="8" t="inlineStr">
        <is>
          <t>Poach: offer whitelist fee, rival is not boosting them</t>
        </is>
      </c>
      <c r="M24" s="7" t="inlineStr">
        <is>
          <t>https://www.instagram.com/freshpik_official/</t>
        </is>
      </c>
    </row>
    <row r="25">
      <c r="A25" s="5" t="n">
        <v>11</v>
      </c>
      <c r="B25" s="5" t="inlineStr">
        <is>
          <t>@deveshreddyy</t>
        </is>
      </c>
      <c r="C25" s="5" t="inlineStr">
        <is>
          <t>Devesh</t>
        </is>
      </c>
      <c r="D25" s="5" t="n">
        <v>245000</v>
      </c>
      <c r="E25" s="5" t="inlineStr">
        <is>
          <t>🚀 Macro Creator (100K-1M)</t>
        </is>
      </c>
      <c r="F25" s="5" t="inlineStr">
        <is>
          <t>Nexus Hyderabad Mall</t>
        </is>
      </c>
      <c r="G25" s="6" t="inlineStr">
        <is>
          <t>Nexus Hyderabad Mall</t>
        </is>
      </c>
      <c r="H25" s="5" t="n">
        <v>6</v>
      </c>
      <c r="I25" s="5" t="n">
        <v>5478226</v>
      </c>
      <c r="J25" s="5" t="n">
        <v>913037</v>
      </c>
      <c r="K25" s="6" t="inlineStr">
        <is>
          <t>🎯 Competitor loyalist — poach target</t>
        </is>
      </c>
      <c r="L25" s="6" t="inlineStr">
        <is>
          <t>Poach: offer whitelist fee, rival is not boosting them</t>
        </is>
      </c>
      <c r="M25" s="5" t="inlineStr">
        <is>
          <t>https://www.instagram.com/deveshreddyy/</t>
        </is>
      </c>
    </row>
    <row r="26">
      <c r="A26" s="7" t="n">
        <v>12</v>
      </c>
      <c r="B26" s="7" t="inlineStr">
        <is>
          <t>@visheshfilms</t>
        </is>
      </c>
      <c r="C26" s="7" t="inlineStr">
        <is>
          <t>Vishesh Films</t>
        </is>
      </c>
      <c r="D26" s="7" t="n">
        <v>188000</v>
      </c>
      <c r="E26" s="7" t="inlineStr">
        <is>
          <t>🚀 Macro Creator (100K-1M)</t>
        </is>
      </c>
      <c r="F26" s="7" t="inlineStr">
        <is>
          <t>Seasons Mall Pune</t>
        </is>
      </c>
      <c r="G26" s="8" t="inlineStr">
        <is>
          <t>Seasons Mall Pune</t>
        </is>
      </c>
      <c r="H26" s="7" t="n">
        <v>1</v>
      </c>
      <c r="I26" s="7" t="n">
        <v>5412492</v>
      </c>
      <c r="J26" s="7" t="n">
        <v>5412492</v>
      </c>
      <c r="K26" s="8" t="inlineStr">
        <is>
          <t>🎯 Competitor loyalist — poach target</t>
        </is>
      </c>
      <c r="L26" s="8" t="inlineStr">
        <is>
          <t>Poach: offer whitelist fee, rival is not boosting them</t>
        </is>
      </c>
      <c r="M26" s="7" t="inlineStr">
        <is>
          <t>https://www.instagram.com/visheshfilms/</t>
        </is>
      </c>
    </row>
    <row r="27">
      <c r="A27" s="5" t="n">
        <v>13</v>
      </c>
      <c r="B27" s="5" t="inlineStr">
        <is>
          <t>@luluhyperhyd</t>
        </is>
      </c>
      <c r="C27" s="5" t="inlineStr">
        <is>
          <t>LuLu Hypermarket Hyderabad</t>
        </is>
      </c>
      <c r="D27" s="5" t="n">
        <v>67000</v>
      </c>
      <c r="E27" s="5" t="inlineStr">
        <is>
          <t>✨ Mid-Tier (50K-100K)</t>
        </is>
      </c>
      <c r="F27" s="5" t="inlineStr">
        <is>
          <t>Lulu Mall Hyderabad</t>
        </is>
      </c>
      <c r="G27" s="6" t="inlineStr">
        <is>
          <t>Lulu Mall Hyderabad</t>
        </is>
      </c>
      <c r="H27" s="5" t="n">
        <v>14</v>
      </c>
      <c r="I27" s="5" t="n">
        <v>5404206</v>
      </c>
      <c r="J27" s="5" t="n">
        <v>386014</v>
      </c>
      <c r="K27" s="6" t="inlineStr">
        <is>
          <t>🎯 Competitor loyalist — poach target</t>
        </is>
      </c>
      <c r="L27" s="6" t="inlineStr">
        <is>
          <t>Poach: offer whitelist fee, rival is not boosting them</t>
        </is>
      </c>
      <c r="M27" s="5" t="inlineStr">
        <is>
          <t>https://www.instagram.com/luluhyperhyd/</t>
        </is>
      </c>
    </row>
    <row r="28">
      <c r="A28" s="7" t="n">
        <v>14</v>
      </c>
      <c r="B28" s="7" t="inlineStr">
        <is>
          <t>@amazeum.in</t>
        </is>
      </c>
      <c r="C28" s="7" t="inlineStr">
        <is>
          <t>Amazeum Children&amp;#039;s Museum</t>
        </is>
      </c>
      <c r="D28" s="7" t="n">
        <v>5247</v>
      </c>
      <c r="E28" s="7" t="inlineStr">
        <is>
          <t>🌱 Nano (&lt;10K)</t>
        </is>
      </c>
      <c r="F28" s="7" t="inlineStr">
        <is>
          <t>The Pavillion Pune</t>
        </is>
      </c>
      <c r="G28" s="8" t="inlineStr">
        <is>
          <t>The Pavillion Pune</t>
        </is>
      </c>
      <c r="H28" s="7" t="n">
        <v>4</v>
      </c>
      <c r="I28" s="7" t="n">
        <v>5187370</v>
      </c>
      <c r="J28" s="7" t="n">
        <v>1296842</v>
      </c>
      <c r="K28" s="8" t="inlineStr">
        <is>
          <t>🎯 Competitor loyalist — poach target</t>
        </is>
      </c>
      <c r="L28" s="8" t="inlineStr">
        <is>
          <t>Poach: offer whitelist fee, rival is not boosting them</t>
        </is>
      </c>
      <c r="M28" s="7" t="inlineStr">
        <is>
          <t>https://www.instagram.com/amazeum.in/</t>
        </is>
      </c>
    </row>
    <row r="29">
      <c r="A29" s="5" t="n">
        <v>15</v>
      </c>
      <c r="B29" s="5" t="inlineStr">
        <is>
          <t>@oneandonlysimran</t>
        </is>
      </c>
      <c r="C29" s="5" t="inlineStr">
        <is>
          <t>S I M R A N .s</t>
        </is>
      </c>
      <c r="D29" s="5" t="n">
        <v>12000</v>
      </c>
      <c r="E29" s="5" t="inlineStr">
        <is>
          <t>🎯 Micro (10K-50K)</t>
        </is>
      </c>
      <c r="F29" s="5" t="inlineStr">
        <is>
          <t>Nexus Hyderabad Mall</t>
        </is>
      </c>
      <c r="G29" s="6" t="inlineStr">
        <is>
          <t>Nexus Hyderabad Mall</t>
        </is>
      </c>
      <c r="H29" s="5" t="n">
        <v>1</v>
      </c>
      <c r="I29" s="5" t="n">
        <v>4258776</v>
      </c>
      <c r="J29" s="5" t="n">
        <v>4258776</v>
      </c>
      <c r="K29" s="6" t="inlineStr">
        <is>
          <t>🎯 Competitor loyalist — poach target</t>
        </is>
      </c>
      <c r="L29" s="6" t="inlineStr">
        <is>
          <t>Poach: offer whitelist fee, rival is not boosting them</t>
        </is>
      </c>
      <c r="M29" s="5" t="inlineStr">
        <is>
          <t>https://www.instagram.com/oneandonlysimran/</t>
        </is>
      </c>
    </row>
    <row r="30">
      <c r="A30" s="7" t="n">
        <v>16</v>
      </c>
      <c r="B30" s="7" t="inlineStr">
        <is>
          <t>@paayaliah</t>
        </is>
      </c>
      <c r="C30" s="7" t="inlineStr">
        <is>
          <t>Payal Routray</t>
        </is>
      </c>
      <c r="D30" s="7" t="n">
        <v>851000</v>
      </c>
      <c r="E30" s="7" t="inlineStr">
        <is>
          <t>🚀 Macro Creator (100K-1M)</t>
        </is>
      </c>
      <c r="F30" s="7" t="inlineStr">
        <is>
          <t>Nexus Hyderabad Mall</t>
        </is>
      </c>
      <c r="G30" s="8" t="inlineStr">
        <is>
          <t>Nexus Hyderabad Mall</t>
        </is>
      </c>
      <c r="H30" s="7" t="n">
        <v>2</v>
      </c>
      <c r="I30" s="7" t="n">
        <v>3957031</v>
      </c>
      <c r="J30" s="7" t="n">
        <v>1978515</v>
      </c>
      <c r="K30" s="8" t="inlineStr">
        <is>
          <t>🎯 Competitor loyalist — poach target</t>
        </is>
      </c>
      <c r="L30" s="8" t="inlineStr">
        <is>
          <t>Poach: offer whitelist fee, rival is not boosting them</t>
        </is>
      </c>
      <c r="M30" s="7" t="inlineStr">
        <is>
          <t>https://www.instagram.com/paayaliah/</t>
        </is>
      </c>
    </row>
    <row r="31">
      <c r="A31" s="5" t="n">
        <v>17</v>
      </c>
      <c r="B31" s="5" t="inlineStr">
        <is>
          <t>@westelm_india</t>
        </is>
      </c>
      <c r="C31" s="5" t="inlineStr">
        <is>
          <t>West Elm | India</t>
        </is>
      </c>
      <c r="D31" s="5" t="n">
        <v>90000</v>
      </c>
      <c r="E31" s="5" t="inlineStr">
        <is>
          <t>✨ Mid-Tier (50K-100K)</t>
        </is>
      </c>
      <c r="F31" s="5" t="inlineStr">
        <is>
          <t>KOPA Mall Pune (Lake Shore)</t>
        </is>
      </c>
      <c r="G31" s="6" t="inlineStr">
        <is>
          <t>KOPA Mall Pune (Lake Shore)</t>
        </is>
      </c>
      <c r="H31" s="5" t="n">
        <v>17</v>
      </c>
      <c r="I31" s="5" t="n">
        <v>3898393</v>
      </c>
      <c r="J31" s="5" t="n">
        <v>229317</v>
      </c>
      <c r="K31" s="6" t="inlineStr">
        <is>
          <t>✅ Lake Shore loyalist</t>
        </is>
      </c>
      <c r="L31" s="6" t="inlineStr">
        <is>
          <t>Whitelist now (Partnership Ad code) + exclusivity clause</t>
        </is>
      </c>
      <c r="M31" s="5" t="inlineStr">
        <is>
          <t>https://www.instagram.com/westelm_india/</t>
        </is>
      </c>
    </row>
    <row r="32">
      <c r="A32" s="7" t="n">
        <v>18</v>
      </c>
      <c r="B32" s="7" t="inlineStr">
        <is>
          <t>@fooindia</t>
        </is>
      </c>
      <c r="C32" s="7" t="inlineStr">
        <is>
          <t>Foo Asian Tapas</t>
        </is>
      </c>
      <c r="D32" s="7" t="n">
        <v>42000</v>
      </c>
      <c r="E32" s="7" t="inlineStr">
        <is>
          <t>🎯 Micro (10K-50K)</t>
        </is>
      </c>
      <c r="F32" s="7" t="inlineStr">
        <is>
          <t>KOPA Mall Pune (Lake Shore)</t>
        </is>
      </c>
      <c r="G32" s="8" t="inlineStr">
        <is>
          <t>KOPA Mall Pune (Lake Shore), Inorbit Mall Cyberabad</t>
        </is>
      </c>
      <c r="H32" s="7" t="n">
        <v>34</v>
      </c>
      <c r="I32" s="7" t="n">
        <v>3758897</v>
      </c>
      <c r="J32" s="7" t="n">
        <v>110555</v>
      </c>
      <c r="K32" s="8" t="inlineStr">
        <is>
          <t>⚠ Multi-mall mercenary (2 malls)</t>
        </is>
      </c>
      <c r="L32" s="8" t="inlineStr">
        <is>
          <t>Whitelist + first-refusal clause before rivals rebook</t>
        </is>
      </c>
      <c r="M32" s="7" t="inlineStr">
        <is>
          <t>https://www.instagram.com/fooindia/</t>
        </is>
      </c>
    </row>
    <row r="33">
      <c r="A33" s="5" t="n">
        <v>19</v>
      </c>
      <c r="B33" s="5" t="inlineStr">
        <is>
          <t>@krishnapatnam_kitchen</t>
        </is>
      </c>
      <c r="C33" s="5" t="inlineStr">
        <is>
          <t>Krishnapatnam</t>
        </is>
      </c>
      <c r="D33" s="5" t="n">
        <v>27000</v>
      </c>
      <c r="E33" s="5" t="inlineStr">
        <is>
          <t>🎯 Micro (10K-50K)</t>
        </is>
      </c>
      <c r="F33" s="5" t="inlineStr">
        <is>
          <t>Nexus Hyderabad Mall</t>
        </is>
      </c>
      <c r="G33" s="6" t="inlineStr">
        <is>
          <t>Nexus Hyderabad Mall</t>
        </is>
      </c>
      <c r="H33" s="5" t="n">
        <v>1</v>
      </c>
      <c r="I33" s="5" t="n">
        <v>3669819</v>
      </c>
      <c r="J33" s="5" t="n">
        <v>3669819</v>
      </c>
      <c r="K33" s="6" t="inlineStr">
        <is>
          <t>🎯 Competitor loyalist — poach target</t>
        </is>
      </c>
      <c r="L33" s="6" t="inlineStr">
        <is>
          <t>Poach: offer whitelist fee, rival is not boosting them</t>
        </is>
      </c>
      <c r="M33" s="5" t="inlineStr">
        <is>
          <t>https://www.instagram.com/krishnapatnam_kitchen/</t>
        </is>
      </c>
    </row>
    <row r="34">
      <c r="A34" s="7" t="n">
        <v>20</v>
      </c>
      <c r="B34" s="7" t="inlineStr">
        <is>
          <t>@urmilachauhan___</t>
        </is>
      </c>
      <c r="C34" s="7" t="inlineStr">
        <is>
          <t>Urmila Chauhan</t>
        </is>
      </c>
      <c r="D34" s="7" t="n">
        <v>63000</v>
      </c>
      <c r="E34" s="7" t="inlineStr">
        <is>
          <t>✨ Mid-Tier (50K-100K)</t>
        </is>
      </c>
      <c r="F34" s="7" t="inlineStr">
        <is>
          <t>Lulu Mall Hyderabad</t>
        </is>
      </c>
      <c r="G34" s="8" t="inlineStr">
        <is>
          <t>Lulu Mall Hyderabad, Nexus Hyderabad Mall</t>
        </is>
      </c>
      <c r="H34" s="7" t="n">
        <v>2</v>
      </c>
      <c r="I34" s="7" t="n">
        <v>3648293</v>
      </c>
      <c r="J34" s="7" t="n">
        <v>1824146</v>
      </c>
      <c r="K34" s="8" t="inlineStr">
        <is>
          <t>⚠ Multi-mall mercenary (2 malls)</t>
        </is>
      </c>
      <c r="L34" s="8" t="inlineStr">
        <is>
          <t>Poach: offer whitelist fee, rival is not boosting them</t>
        </is>
      </c>
      <c r="M34" s="7" t="inlineStr">
        <is>
          <t>https://www.instagram.com/urmilachauhan___/</t>
        </is>
      </c>
    </row>
    <row r="35">
      <c r="A35" s="5" t="n">
        <v>21</v>
      </c>
      <c r="B35" s="5" t="inlineStr">
        <is>
          <t>@gotcha.india</t>
        </is>
      </c>
      <c r="C35" s="5" t="inlineStr">
        <is>
          <t>Gotcha India | Australia’s Best Bubble Tea</t>
        </is>
      </c>
      <c r="D35" s="5" t="n">
        <v>826</v>
      </c>
      <c r="E35" s="5" t="inlineStr">
        <is>
          <t>🌱 Nano (&lt;10K)</t>
        </is>
      </c>
      <c r="F35" s="5" t="inlineStr">
        <is>
          <t>Lulu Mall Hyderabad</t>
        </is>
      </c>
      <c r="G35" s="6" t="inlineStr">
        <is>
          <t>Lulu Mall Hyderabad</t>
        </is>
      </c>
      <c r="H35" s="5" t="n">
        <v>1</v>
      </c>
      <c r="I35" s="5" t="n">
        <v>3631162</v>
      </c>
      <c r="J35" s="5" t="n">
        <v>3631162</v>
      </c>
      <c r="K35" s="6" t="inlineStr">
        <is>
          <t>🎯 Competitor loyalist — poach target</t>
        </is>
      </c>
      <c r="L35" s="6" t="inlineStr">
        <is>
          <t>Poach: offer whitelist fee, rival is not boosting them</t>
        </is>
      </c>
      <c r="M35" s="5" t="inlineStr">
        <is>
          <t>https://www.instagram.com/gotcha.india/</t>
        </is>
      </c>
    </row>
    <row r="36">
      <c r="A36" s="7" t="n">
        <v>22</v>
      </c>
      <c r="B36" s="7" t="inlineStr">
        <is>
          <t>@kapoorwatch</t>
        </is>
      </c>
      <c r="C36" s="7" t="inlineStr">
        <is>
          <t>Kapoor Watch Co.</t>
        </is>
      </c>
      <c r="D36" s="7" t="n">
        <v>73000</v>
      </c>
      <c r="E36" s="7" t="inlineStr">
        <is>
          <t>✨ Mid-Tier (50K-100K)</t>
        </is>
      </c>
      <c r="F36" s="7" t="inlineStr">
        <is>
          <t>KOPA Mall Pune (Lake Shore)</t>
        </is>
      </c>
      <c r="G36" s="8" t="inlineStr">
        <is>
          <t>KOPA Mall Pune (Lake Shore)</t>
        </is>
      </c>
      <c r="H36" s="7" t="n">
        <v>20</v>
      </c>
      <c r="I36" s="7" t="n">
        <v>3619395</v>
      </c>
      <c r="J36" s="7" t="n">
        <v>180969</v>
      </c>
      <c r="K36" s="8" t="inlineStr">
        <is>
          <t>✅ Lake Shore loyalist</t>
        </is>
      </c>
      <c r="L36" s="8" t="inlineStr">
        <is>
          <t>Whitelist now (Partnership Ad code) + exclusivity clause</t>
        </is>
      </c>
      <c r="M36" s="7" t="inlineStr">
        <is>
          <t>https://www.instagram.com/kapoorwatch/</t>
        </is>
      </c>
    </row>
    <row r="37">
      <c r="A37" s="5" t="n">
        <v>23</v>
      </c>
      <c r="B37" s="5" t="inlineStr">
        <is>
          <t>@rathodtanisha_</t>
        </is>
      </c>
      <c r="C37" s="5" t="inlineStr">
        <is>
          <t>Tanisha Rathod</t>
        </is>
      </c>
      <c r="D37" s="5" t="n">
        <v>43000</v>
      </c>
      <c r="E37" s="5" t="inlineStr">
        <is>
          <t>🎯 Micro (10K-50K)</t>
        </is>
      </c>
      <c r="F37" s="5" t="inlineStr">
        <is>
          <t>Nexus Hyderabad Mall</t>
        </is>
      </c>
      <c r="G37" s="6" t="inlineStr">
        <is>
          <t>Nexus Hyderabad Mall</t>
        </is>
      </c>
      <c r="H37" s="5" t="n">
        <v>2</v>
      </c>
      <c r="I37" s="5" t="n">
        <v>3583066</v>
      </c>
      <c r="J37" s="5" t="n">
        <v>1791533</v>
      </c>
      <c r="K37" s="6" t="inlineStr">
        <is>
          <t>🎯 Competitor loyalist — poach target</t>
        </is>
      </c>
      <c r="L37" s="6" t="inlineStr">
        <is>
          <t>Poach: offer whitelist fee, rival is not boosting them</t>
        </is>
      </c>
      <c r="M37" s="5" t="inlineStr">
        <is>
          <t>https://www.instagram.com/rathodtanisha_/</t>
        </is>
      </c>
    </row>
    <row r="38">
      <c r="A38" s="7" t="n">
        <v>24</v>
      </c>
      <c r="B38" s="7" t="inlineStr">
        <is>
          <t>@taruna_sharma</t>
        </is>
      </c>
      <c r="C38" s="7" t="inlineStr">
        <is>
          <t>Taruna Sharma</t>
        </is>
      </c>
      <c r="D38" s="7" t="n">
        <v>26000</v>
      </c>
      <c r="E38" s="7" t="inlineStr">
        <is>
          <t>🎯 Micro (10K-50K)</t>
        </is>
      </c>
      <c r="F38" s="7" t="inlineStr">
        <is>
          <t>Nexus Hyderabad Mall</t>
        </is>
      </c>
      <c r="G38" s="8" t="inlineStr">
        <is>
          <t>Nexus Hyderabad Mall</t>
        </is>
      </c>
      <c r="H38" s="7" t="n">
        <v>1</v>
      </c>
      <c r="I38" s="7" t="n">
        <v>3497621</v>
      </c>
      <c r="J38" s="7" t="n">
        <v>3497621</v>
      </c>
      <c r="K38" s="8" t="inlineStr">
        <is>
          <t>🎯 Competitor loyalist — poach target</t>
        </is>
      </c>
      <c r="L38" s="8" t="inlineStr">
        <is>
          <t>Poach: offer whitelist fee, rival is not boosting them</t>
        </is>
      </c>
      <c r="M38" s="7" t="inlineStr">
        <is>
          <t>https://www.instagram.com/taruna_sharma/</t>
        </is>
      </c>
    </row>
    <row r="39">
      <c r="A39" s="5" t="n">
        <v>25</v>
      </c>
      <c r="B39" s="5" t="inlineStr">
        <is>
          <t>@subhavna__</t>
        </is>
      </c>
      <c r="C39" s="5" t="inlineStr">
        <is>
          <t>Subhavna</t>
        </is>
      </c>
      <c r="D39" s="5" t="n">
        <v>88000</v>
      </c>
      <c r="E39" s="5" t="inlineStr">
        <is>
          <t>✨ Mid-Tier (50K-100K)</t>
        </is>
      </c>
      <c r="F39" s="5" t="inlineStr">
        <is>
          <t>Nexus Hyderabad Mall</t>
        </is>
      </c>
      <c r="G39" s="6" t="inlineStr">
        <is>
          <t>Nexus Hyderabad Mall</t>
        </is>
      </c>
      <c r="H39" s="5" t="n">
        <v>1</v>
      </c>
      <c r="I39" s="5" t="n">
        <v>3458654</v>
      </c>
      <c r="J39" s="5" t="n">
        <v>3458654</v>
      </c>
      <c r="K39" s="6" t="inlineStr">
        <is>
          <t>🎯 Competitor loyalist — poach target</t>
        </is>
      </c>
      <c r="L39" s="6" t="inlineStr">
        <is>
          <t>Poach: offer whitelist fee, rival is not boosting them</t>
        </is>
      </c>
      <c r="M39" s="5" t="inlineStr">
        <is>
          <t>https://www.instagram.com/subhavna__/</t>
        </is>
      </c>
    </row>
    <row r="40">
      <c r="A40" s="7" t="n">
        <v>26</v>
      </c>
      <c r="B40" s="7" t="inlineStr">
        <is>
          <t>@purehomeandliving</t>
        </is>
      </c>
      <c r="C40" s="7" t="inlineStr">
        <is>
          <t>Pure Home</t>
        </is>
      </c>
      <c r="D40" s="7" t="n">
        <v>293000</v>
      </c>
      <c r="E40" s="7" t="inlineStr">
        <is>
          <t>🚀 Macro Creator (100K-1M)</t>
        </is>
      </c>
      <c r="F40" s="7" t="inlineStr">
        <is>
          <t>KOPA Mall Pune (Lake Shore)</t>
        </is>
      </c>
      <c r="G40" s="8" t="inlineStr">
        <is>
          <t>KOPA Mall Pune (Lake Shore)</t>
        </is>
      </c>
      <c r="H40" s="7" t="n">
        <v>3</v>
      </c>
      <c r="I40" s="7" t="n">
        <v>3448476</v>
      </c>
      <c r="J40" s="7" t="n">
        <v>1149492</v>
      </c>
      <c r="K40" s="8" t="inlineStr">
        <is>
          <t>✅ Lake Shore loyalist</t>
        </is>
      </c>
      <c r="L40" s="8" t="inlineStr">
        <is>
          <t>Whitelist now (Partnership Ad code) + exclusivity clause</t>
        </is>
      </c>
      <c r="M40" s="7" t="inlineStr">
        <is>
          <t>https://www.instagram.com/purehomeandliving/</t>
        </is>
      </c>
    </row>
    <row r="41">
      <c r="A41" s="5" t="n">
        <v>27</v>
      </c>
      <c r="B41" s="5" t="inlineStr">
        <is>
          <t>@nappadori</t>
        </is>
      </c>
      <c r="C41" s="5" t="inlineStr">
        <is>
          <t>Nappa Dori</t>
        </is>
      </c>
      <c r="D41" s="5" t="n">
        <v>165000</v>
      </c>
      <c r="E41" s="5" t="inlineStr">
        <is>
          <t>🚀 Macro Creator (100K-1M)</t>
        </is>
      </c>
      <c r="F41" s="5" t="inlineStr">
        <is>
          <t>KOPA Mall Pune (Lake Shore)</t>
        </is>
      </c>
      <c r="G41" s="6" t="inlineStr">
        <is>
          <t>KOPA Mall Pune (Lake Shore)</t>
        </is>
      </c>
      <c r="H41" s="5" t="n">
        <v>13</v>
      </c>
      <c r="I41" s="5" t="n">
        <v>3448476</v>
      </c>
      <c r="J41" s="5" t="n">
        <v>265267</v>
      </c>
      <c r="K41" s="6" t="inlineStr">
        <is>
          <t>✅ Lake Shore loyalist</t>
        </is>
      </c>
      <c r="L41" s="6" t="inlineStr">
        <is>
          <t>Whitelist now (Partnership Ad code) + exclusivity clause</t>
        </is>
      </c>
      <c r="M41" s="5" t="inlineStr">
        <is>
          <t>https://www.instagram.com/nappadori/</t>
        </is>
      </c>
    </row>
    <row r="42">
      <c r="A42" s="7" t="n">
        <v>28</v>
      </c>
      <c r="B42" s="7" t="inlineStr">
        <is>
          <t>@lovecation_diaries</t>
        </is>
      </c>
      <c r="C42" s="7" t="inlineStr">
        <is>
          <t>LovecationDiaries</t>
        </is>
      </c>
      <c r="D42" s="7" t="n">
        <v>5783</v>
      </c>
      <c r="E42" s="7" t="inlineStr">
        <is>
          <t>🌱 Nano (&lt;10K)</t>
        </is>
      </c>
      <c r="F42" s="7" t="inlineStr">
        <is>
          <t>Lulu Mall Hyderabad</t>
        </is>
      </c>
      <c r="G42" s="8" t="inlineStr">
        <is>
          <t>Lulu Mall Hyderabad</t>
        </is>
      </c>
      <c r="H42" s="7" t="n">
        <v>2</v>
      </c>
      <c r="I42" s="7" t="n">
        <v>3423193</v>
      </c>
      <c r="J42" s="7" t="n">
        <v>1711596</v>
      </c>
      <c r="K42" s="8" t="inlineStr">
        <is>
          <t>🎯 Competitor loyalist — poach target</t>
        </is>
      </c>
      <c r="L42" s="8" t="inlineStr">
        <is>
          <t>Poach: offer whitelist fee, rival is not boosting them</t>
        </is>
      </c>
      <c r="M42" s="7" t="inlineStr">
        <is>
          <t>https://www.instagram.com/lovecation_diaries/</t>
        </is>
      </c>
    </row>
    <row r="43">
      <c r="A43" s="5" t="n">
        <v>29</v>
      </c>
      <c r="B43" s="5" t="inlineStr">
        <is>
          <t>@jaipurrugs</t>
        </is>
      </c>
      <c r="C43" s="5" t="inlineStr">
        <is>
          <t>Jaipur Rugs</t>
        </is>
      </c>
      <c r="D43" s="5" t="n">
        <v>230000</v>
      </c>
      <c r="E43" s="5" t="inlineStr">
        <is>
          <t>🚀 Macro Creator (100K-1M)</t>
        </is>
      </c>
      <c r="F43" s="5" t="inlineStr">
        <is>
          <t>KOPA Mall Pune (Lake Shore)</t>
        </is>
      </c>
      <c r="G43" s="6" t="inlineStr">
        <is>
          <t>KOPA Mall Pune (Lake Shore)</t>
        </is>
      </c>
      <c r="H43" s="5" t="n">
        <v>2</v>
      </c>
      <c r="I43" s="5" t="n">
        <v>3302325</v>
      </c>
      <c r="J43" s="5" t="n">
        <v>1651162</v>
      </c>
      <c r="K43" s="6" t="inlineStr">
        <is>
          <t>✅ Lake Shore loyalist</t>
        </is>
      </c>
      <c r="L43" s="6" t="inlineStr">
        <is>
          <t>Whitelist now (Partnership Ad code) + exclusivity clause</t>
        </is>
      </c>
      <c r="M43" s="5" t="inlineStr">
        <is>
          <t>https://www.instagram.com/jaipurrugs/</t>
        </is>
      </c>
    </row>
    <row r="44">
      <c r="A44" s="7" t="n">
        <v>30</v>
      </c>
      <c r="B44" s="7" t="inlineStr">
        <is>
          <t>@fairychronicle</t>
        </is>
      </c>
      <c r="C44" s="7" t="inlineStr">
        <is>
          <t>Heer Upadhyay 🦄</t>
        </is>
      </c>
      <c r="D44" s="7" t="n">
        <v>4348</v>
      </c>
      <c r="E44" s="7" t="inlineStr">
        <is>
          <t>🌱 Nano (&lt;10K)</t>
        </is>
      </c>
      <c r="F44" s="7" t="inlineStr">
        <is>
          <t>Nexus Hyderabad Mall</t>
        </is>
      </c>
      <c r="G44" s="8" t="inlineStr">
        <is>
          <t>Nexus Hyderabad Mall</t>
        </is>
      </c>
      <c r="H44" s="7" t="n">
        <v>1</v>
      </c>
      <c r="I44" s="7" t="n">
        <v>3153286</v>
      </c>
      <c r="J44" s="7" t="n">
        <v>3153286</v>
      </c>
      <c r="K44" s="8" t="inlineStr">
        <is>
          <t>🎯 Competitor loyalist — poach target</t>
        </is>
      </c>
      <c r="L44" s="8" t="inlineStr">
        <is>
          <t>Poach: offer whitelist fee, rival is not boosting them</t>
        </is>
      </c>
      <c r="M44" s="7" t="inlineStr">
        <is>
          <t>https://www.instagram.com/fairychronicle/</t>
        </is>
      </c>
    </row>
    <row r="45">
      <c r="A45" s="5" t="n">
        <v>31</v>
      </c>
      <c r="B45" s="5" t="inlineStr">
        <is>
          <t>@thebingejournal</t>
        </is>
      </c>
      <c r="C45" s="5" t="inlineStr">
        <is>
          <t>Mohini + Saumye | Food, Fun &amp;amp; Experiences</t>
        </is>
      </c>
      <c r="D45" s="5" t="n">
        <v>47000</v>
      </c>
      <c r="E45" s="5" t="inlineStr">
        <is>
          <t>🎯 Micro (10K-50K)</t>
        </is>
      </c>
      <c r="F45" s="5" t="inlineStr">
        <is>
          <t>Inorbit Mall Cyberabad</t>
        </is>
      </c>
      <c r="G45" s="6" t="inlineStr">
        <is>
          <t>Inorbit Mall Cyberabad</t>
        </is>
      </c>
      <c r="H45" s="5" t="n">
        <v>2</v>
      </c>
      <c r="I45" s="5" t="n">
        <v>3130259</v>
      </c>
      <c r="J45" s="5" t="n">
        <v>1565129</v>
      </c>
      <c r="K45" s="6" t="inlineStr">
        <is>
          <t>🎯 Competitor loyalist — poach target</t>
        </is>
      </c>
      <c r="L45" s="6" t="inlineStr">
        <is>
          <t>Poach: offer whitelist fee, rival is not boosting them</t>
        </is>
      </c>
      <c r="M45" s="5" t="inlineStr">
        <is>
          <t>https://www.instagram.com/thebingejournal/</t>
        </is>
      </c>
    </row>
    <row r="46">
      <c r="A46" s="7" t="n">
        <v>32</v>
      </c>
      <c r="B46" s="7" t="inlineStr">
        <is>
          <t>@megha_sidharth</t>
        </is>
      </c>
      <c r="C46" s="7" t="inlineStr">
        <is>
          <t>Megha Sidharth</t>
        </is>
      </c>
      <c r="D46" s="7" t="n">
        <v>223000</v>
      </c>
      <c r="E46" s="7" t="inlineStr">
        <is>
          <t>🚀 Macro Creator (100K-1M)</t>
        </is>
      </c>
      <c r="F46" s="7" t="inlineStr">
        <is>
          <t>Nexus Hyderabad Mall</t>
        </is>
      </c>
      <c r="G46" s="8" t="inlineStr">
        <is>
          <t>Nexus Hyderabad Mall</t>
        </is>
      </c>
      <c r="H46" s="7" t="n">
        <v>1</v>
      </c>
      <c r="I46" s="7" t="n">
        <v>3103493</v>
      </c>
      <c r="J46" s="7" t="n">
        <v>3103493</v>
      </c>
      <c r="K46" s="8" t="inlineStr">
        <is>
          <t>🎯 Competitor loyalist — poach target</t>
        </is>
      </c>
      <c r="L46" s="8" t="inlineStr">
        <is>
          <t>Poach: offer whitelist fee, rival is not boosting them</t>
        </is>
      </c>
      <c r="M46" s="7" t="inlineStr">
        <is>
          <t>https://www.instagram.com/megha_sidharth/</t>
        </is>
      </c>
    </row>
    <row r="47">
      <c r="A47" s="5" t="n">
        <v>33</v>
      </c>
      <c r="B47" s="5" t="inlineStr">
        <is>
          <t>@deepika.kewalramani</t>
        </is>
      </c>
      <c r="C47" s="5" t="inlineStr">
        <is>
          <t>Deepika Kewalramani</t>
        </is>
      </c>
      <c r="D47" s="5" t="n">
        <v>73000</v>
      </c>
      <c r="E47" s="5" t="inlineStr">
        <is>
          <t>✨ Mid-Tier (50K-100K)</t>
        </is>
      </c>
      <c r="F47" s="5" t="inlineStr">
        <is>
          <t>Inorbit Mall Cyberabad</t>
        </is>
      </c>
      <c r="G47" s="6" t="inlineStr">
        <is>
          <t>Inorbit Mall Cyberabad</t>
        </is>
      </c>
      <c r="H47" s="5" t="n">
        <v>1</v>
      </c>
      <c r="I47" s="5" t="n">
        <v>3049011</v>
      </c>
      <c r="J47" s="5" t="n">
        <v>3049011</v>
      </c>
      <c r="K47" s="6" t="inlineStr">
        <is>
          <t>🎯 Competitor loyalist — poach target</t>
        </is>
      </c>
      <c r="L47" s="6" t="inlineStr">
        <is>
          <t>Poach: offer whitelist fee, rival is not boosting them</t>
        </is>
      </c>
      <c r="M47" s="5" t="inlineStr">
        <is>
          <t>https://www.instagram.com/deepika.kewalramani/</t>
        </is>
      </c>
    </row>
    <row r="48">
      <c r="A48" s="7" t="n">
        <v>34</v>
      </c>
      <c r="B48" s="7" t="inlineStr">
        <is>
          <t>@tamanna.tanweer</t>
        </is>
      </c>
      <c r="C48" s="7" t="inlineStr">
        <is>
          <t>Tamanna Tanweer</t>
        </is>
      </c>
      <c r="D48" s="7" t="n">
        <v>45000</v>
      </c>
      <c r="E48" s="7" t="inlineStr">
        <is>
          <t>🎯 Micro (10K-50K)</t>
        </is>
      </c>
      <c r="F48" s="7" t="inlineStr">
        <is>
          <t>Nexus Hyderabad Mall</t>
        </is>
      </c>
      <c r="G48" s="8" t="inlineStr">
        <is>
          <t>Nexus Hyderabad Mall</t>
        </is>
      </c>
      <c r="H48" s="7" t="n">
        <v>1</v>
      </c>
      <c r="I48" s="7" t="n">
        <v>3017214</v>
      </c>
      <c r="J48" s="7" t="n">
        <v>3017214</v>
      </c>
      <c r="K48" s="8" t="inlineStr">
        <is>
          <t>🎯 Competitor loyalist — poach target</t>
        </is>
      </c>
      <c r="L48" s="8" t="inlineStr">
        <is>
          <t>Poach: offer whitelist fee, rival is not boosting them</t>
        </is>
      </c>
      <c r="M48" s="7" t="inlineStr">
        <is>
          <t>https://www.instagram.com/tamanna.tanweer/</t>
        </is>
      </c>
    </row>
    <row r="49">
      <c r="A49" s="5" t="n">
        <v>35</v>
      </c>
      <c r="B49" s="5" t="inlineStr">
        <is>
          <t>@roopalimishhra</t>
        </is>
      </c>
      <c r="C49" s="5" t="inlineStr">
        <is>
          <t>Roopali Mishhra</t>
        </is>
      </c>
      <c r="D49" s="5" t="n">
        <v>45000</v>
      </c>
      <c r="E49" s="5" t="inlineStr">
        <is>
          <t>🎯 Micro (10K-50K)</t>
        </is>
      </c>
      <c r="F49" s="5" t="inlineStr">
        <is>
          <t>Inorbit Mall Cyberabad</t>
        </is>
      </c>
      <c r="G49" s="6" t="inlineStr">
        <is>
          <t>Inorbit Mall Cyberabad</t>
        </is>
      </c>
      <c r="H49" s="5" t="n">
        <v>1</v>
      </c>
      <c r="I49" s="5" t="n">
        <v>3016397</v>
      </c>
      <c r="J49" s="5" t="n">
        <v>3016397</v>
      </c>
      <c r="K49" s="6" t="inlineStr">
        <is>
          <t>🎯 Competitor loyalist — poach target</t>
        </is>
      </c>
      <c r="L49" s="6" t="inlineStr">
        <is>
          <t>Poach: offer whitelist fee, rival is not boosting them</t>
        </is>
      </c>
      <c r="M49" s="5" t="inlineStr">
        <is>
          <t>https://www.instagram.com/roopalimishhra/</t>
        </is>
      </c>
    </row>
    <row r="50">
      <c r="A50" s="7" t="n">
        <v>36</v>
      </c>
      <c r="B50" s="7" t="inlineStr">
        <is>
          <t>@nakshathra_hyderabad</t>
        </is>
      </c>
      <c r="C50" s="7" t="inlineStr">
        <is>
          <t>Nakshathra Hyderabad</t>
        </is>
      </c>
      <c r="D50" s="7" t="n">
        <v>85000</v>
      </c>
      <c r="E50" s="7" t="inlineStr">
        <is>
          <t>✨ Mid-Tier (50K-100K)</t>
        </is>
      </c>
      <c r="F50" s="7" t="inlineStr">
        <is>
          <t>Lulu Mall Hyderabad</t>
        </is>
      </c>
      <c r="G50" s="8" t="inlineStr">
        <is>
          <t>Lulu Mall Hyderabad</t>
        </is>
      </c>
      <c r="H50" s="7" t="n">
        <v>2</v>
      </c>
      <c r="I50" s="7" t="n">
        <v>2985552</v>
      </c>
      <c r="J50" s="7" t="n">
        <v>1492776</v>
      </c>
      <c r="K50" s="8" t="inlineStr">
        <is>
          <t>🎯 Competitor loyalist — poach target</t>
        </is>
      </c>
      <c r="L50" s="8" t="inlineStr">
        <is>
          <t>Poach: offer whitelist fee, rival is not boosting them</t>
        </is>
      </c>
      <c r="M50" s="7" t="inlineStr">
        <is>
          <t>https://www.instagram.com/nakshathra_hyderabad/</t>
        </is>
      </c>
    </row>
    <row r="51">
      <c r="A51" s="5" t="n">
        <v>37</v>
      </c>
      <c r="B51" s="5" t="inlineStr">
        <is>
          <t>@agamsetiaa</t>
        </is>
      </c>
      <c r="C51" s="5" t="inlineStr">
        <is>
          <t>Agam</t>
        </is>
      </c>
      <c r="D51" s="5" t="n">
        <v>30000</v>
      </c>
      <c r="E51" s="5" t="inlineStr">
        <is>
          <t>🎯 Micro (10K-50K)</t>
        </is>
      </c>
      <c r="F51" s="5" t="inlineStr">
        <is>
          <t>Nexus Hyderabad Mall</t>
        </is>
      </c>
      <c r="G51" s="6" t="inlineStr">
        <is>
          <t>Nexus Hyderabad Mall</t>
        </is>
      </c>
      <c r="H51" s="5" t="n">
        <v>2</v>
      </c>
      <c r="I51" s="5" t="n">
        <v>2933843</v>
      </c>
      <c r="J51" s="5" t="n">
        <v>1466921</v>
      </c>
      <c r="K51" s="6" t="inlineStr">
        <is>
          <t>🎯 Competitor loyalist — poach target</t>
        </is>
      </c>
      <c r="L51" s="6" t="inlineStr">
        <is>
          <t>Poach: offer whitelist fee, rival is not boosting them</t>
        </is>
      </c>
      <c r="M51" s="5" t="inlineStr">
        <is>
          <t>https://www.instagram.com/agamsetiaa/</t>
        </is>
      </c>
    </row>
    <row r="52">
      <c r="A52" s="7" t="n">
        <v>38</v>
      </c>
      <c r="B52" s="7" t="inlineStr">
        <is>
          <t>@rannagill</t>
        </is>
      </c>
      <c r="C52" s="7" t="inlineStr">
        <is>
          <t>Ranna Gill</t>
        </is>
      </c>
      <c r="D52" s="7" t="n">
        <v>252000</v>
      </c>
      <c r="E52" s="7" t="inlineStr">
        <is>
          <t>🚀 Macro Creator (100K-1M)</t>
        </is>
      </c>
      <c r="F52" s="7" t="inlineStr">
        <is>
          <t>KOPA Mall Pune (Lake Shore)</t>
        </is>
      </c>
      <c r="G52" s="8" t="inlineStr">
        <is>
          <t>KOPA Mall Pune (Lake Shore)</t>
        </is>
      </c>
      <c r="H52" s="7" t="n">
        <v>18</v>
      </c>
      <c r="I52" s="7" t="n">
        <v>2860804</v>
      </c>
      <c r="J52" s="7" t="n">
        <v>158933</v>
      </c>
      <c r="K52" s="8" t="inlineStr">
        <is>
          <t>✅ Lake Shore loyalist</t>
        </is>
      </c>
      <c r="L52" s="8" t="inlineStr">
        <is>
          <t>Whitelist now (Partnership Ad code) + exclusivity clause</t>
        </is>
      </c>
      <c r="M52" s="7" t="inlineStr">
        <is>
          <t>https://www.instagram.com/rannagill/</t>
        </is>
      </c>
    </row>
    <row r="53">
      <c r="A53" s="5" t="n">
        <v>39</v>
      </c>
      <c r="B53" s="5" t="inlineStr">
        <is>
          <t>@rugvedawagh</t>
        </is>
      </c>
      <c r="C53" s="5" t="inlineStr">
        <is>
          <t>Rugveda Wagh</t>
        </is>
      </c>
      <c r="D53" s="5" t="n">
        <v>130000</v>
      </c>
      <c r="E53" s="5" t="inlineStr">
        <is>
          <t>🚀 Macro Creator (100K-1M)</t>
        </is>
      </c>
      <c r="F53" s="5" t="inlineStr">
        <is>
          <t>Nexus Hyderabad Mall</t>
        </is>
      </c>
      <c r="G53" s="6" t="inlineStr">
        <is>
          <t>Nexus Hyderabad Mall</t>
        </is>
      </c>
      <c r="H53" s="5" t="n">
        <v>1</v>
      </c>
      <c r="I53" s="5" t="n">
        <v>2789985</v>
      </c>
      <c r="J53" s="5" t="n">
        <v>2789985</v>
      </c>
      <c r="K53" s="6" t="inlineStr">
        <is>
          <t>🎯 Competitor loyalist — poach target</t>
        </is>
      </c>
      <c r="L53" s="6" t="inlineStr">
        <is>
          <t>Poach: offer whitelist fee, rival is not boosting them</t>
        </is>
      </c>
      <c r="M53" s="5" t="inlineStr">
        <is>
          <t>https://www.instagram.com/rugvedawagh/</t>
        </is>
      </c>
    </row>
    <row r="54">
      <c r="A54" s="7" t="n">
        <v>40</v>
      </c>
      <c r="B54" s="7" t="inlineStr">
        <is>
          <t>@makermasti.official</t>
        </is>
      </c>
      <c r="C54" s="7" t="inlineStr">
        <is>
          <t>MakerMasti - Edutainment</t>
        </is>
      </c>
      <c r="D54" s="7" t="n">
        <v>3582</v>
      </c>
      <c r="E54" s="7" t="inlineStr">
        <is>
          <t>🌱 Nano (&lt;10K)</t>
        </is>
      </c>
      <c r="F54" s="7" t="inlineStr">
        <is>
          <t>Lake Shore Y Junction (Hyderabad)</t>
        </is>
      </c>
      <c r="G54" s="8" t="inlineStr">
        <is>
          <t>Lake Shore Y Junction (Hyderabad)</t>
        </is>
      </c>
      <c r="H54" s="7" t="n">
        <v>19</v>
      </c>
      <c r="I54" s="7" t="n">
        <v>2770224</v>
      </c>
      <c r="J54" s="7" t="n">
        <v>145801</v>
      </c>
      <c r="K54" s="8" t="inlineStr">
        <is>
          <t>✅ Lake Shore loyalist</t>
        </is>
      </c>
      <c r="L54" s="8" t="inlineStr">
        <is>
          <t>Whitelist now (Partnership Ad code) + exclusivity clause</t>
        </is>
      </c>
      <c r="M54" s="7" t="inlineStr">
        <is>
          <t>https://www.instagram.com/makermasti.official/</t>
        </is>
      </c>
    </row>
    <row r="55">
      <c r="A55" s="5" t="n">
        <v>41</v>
      </c>
      <c r="B55" s="5" t="inlineStr">
        <is>
          <t>@gunveenmanchanda</t>
        </is>
      </c>
      <c r="C55" s="5" t="inlineStr">
        <is>
          <t>Gunveen Manchanda</t>
        </is>
      </c>
      <c r="D55" s="5" t="n">
        <v>9759</v>
      </c>
      <c r="E55" s="5" t="inlineStr">
        <is>
          <t>🌱 Nano (&lt;10K)</t>
        </is>
      </c>
      <c r="F55" s="5" t="inlineStr">
        <is>
          <t>Nexus Hyderabad Mall</t>
        </is>
      </c>
      <c r="G55" s="6" t="inlineStr">
        <is>
          <t>Nexus Hyderabad Mall</t>
        </is>
      </c>
      <c r="H55" s="5" t="n">
        <v>2</v>
      </c>
      <c r="I55" s="5" t="n">
        <v>2692004</v>
      </c>
      <c r="J55" s="5" t="n">
        <v>1346002</v>
      </c>
      <c r="K55" s="6" t="inlineStr">
        <is>
          <t>🎯 Competitor loyalist — poach target</t>
        </is>
      </c>
      <c r="L55" s="6" t="inlineStr">
        <is>
          <t>Poach: offer whitelist fee, rival is not boosting them</t>
        </is>
      </c>
      <c r="M55" s="5" t="inlineStr">
        <is>
          <t>https://www.instagram.com/gunveenmanchanda/</t>
        </is>
      </c>
    </row>
    <row r="56">
      <c r="A56" s="7" t="n">
        <v>42</v>
      </c>
      <c r="B56" s="7" t="inlineStr">
        <is>
          <t>@deep_dusk</t>
        </is>
      </c>
      <c r="C56" s="7" t="inlineStr">
        <is>
          <t>Deepshikha Prasad</t>
        </is>
      </c>
      <c r="D56" s="7" t="n">
        <v>102000</v>
      </c>
      <c r="E56" s="7" t="inlineStr">
        <is>
          <t>🚀 Macro Creator (100K-1M)</t>
        </is>
      </c>
      <c r="F56" s="7" t="inlineStr">
        <is>
          <t>Sarath City Capital Mall Hyderabad</t>
        </is>
      </c>
      <c r="G56" s="8" t="inlineStr">
        <is>
          <t>Sarath City Capital Mall Hyderabad, Inorbit Mall Cyberabad, Nexus Hyderabad Mall</t>
        </is>
      </c>
      <c r="H56" s="7" t="n">
        <v>6</v>
      </c>
      <c r="I56" s="7" t="n">
        <v>2606320</v>
      </c>
      <c r="J56" s="7" t="n">
        <v>434386</v>
      </c>
      <c r="K56" s="8" t="inlineStr">
        <is>
          <t>⚠ Multi-mall mercenary (3 malls)</t>
        </is>
      </c>
      <c r="L56" s="8" t="inlineStr">
        <is>
          <t>Poach: offer whitelist fee, rival is not boosting them</t>
        </is>
      </c>
      <c r="M56" s="7" t="inlineStr">
        <is>
          <t>https://www.instagram.com/deep_dusk/</t>
        </is>
      </c>
    </row>
    <row r="57">
      <c r="A57" s="5" t="n">
        <v>43</v>
      </c>
      <c r="B57" s="5" t="inlineStr">
        <is>
          <t>@in.his.wardrobe</t>
        </is>
      </c>
      <c r="C57" s="5" t="inlineStr">
        <is>
          <t>Anudeep Baidya</t>
        </is>
      </c>
      <c r="D57" s="5" t="n">
        <v>249000</v>
      </c>
      <c r="E57" s="5" t="inlineStr">
        <is>
          <t>🚀 Macro Creator (100K-1M)</t>
        </is>
      </c>
      <c r="F57" s="5" t="inlineStr">
        <is>
          <t>Inorbit Mall Cyberabad</t>
        </is>
      </c>
      <c r="G57" s="6" t="inlineStr">
        <is>
          <t>Inorbit Mall Cyberabad</t>
        </is>
      </c>
      <c r="H57" s="5" t="n">
        <v>2</v>
      </c>
      <c r="I57" s="5" t="n">
        <v>2562409</v>
      </c>
      <c r="J57" s="5" t="n">
        <v>1281204</v>
      </c>
      <c r="K57" s="6" t="inlineStr">
        <is>
          <t>🎯 Competitor loyalist — poach target</t>
        </is>
      </c>
      <c r="L57" s="6" t="inlineStr">
        <is>
          <t>Poach: offer whitelist fee, rival is not boosting them</t>
        </is>
      </c>
      <c r="M57" s="5" t="inlineStr">
        <is>
          <t>https://www.instagram.com/in.his.wardrobe/</t>
        </is>
      </c>
    </row>
    <row r="58">
      <c r="A58" s="7" t="n">
        <v>44</v>
      </c>
      <c r="B58" s="7" t="inlineStr">
        <is>
          <t>@communitie.hyd</t>
        </is>
      </c>
      <c r="C58" s="7" t="inlineStr">
        <is>
          <t>Communitie Hyderabad</t>
        </is>
      </c>
      <c r="D58" s="7" t="n">
        <v>85000</v>
      </c>
      <c r="E58" s="7" t="inlineStr">
        <is>
          <t>✨ Mid-Tier (50K-100K)</t>
        </is>
      </c>
      <c r="F58" s="7" t="inlineStr">
        <is>
          <t>Lake Shore Y Junction (Hyderabad)</t>
        </is>
      </c>
      <c r="G58" s="8" t="inlineStr">
        <is>
          <t>Lake Shore Y Junction (Hyderabad), Inorbit Mall Cyberabad, Nexus Hyderabad Mall</t>
        </is>
      </c>
      <c r="H58" s="7" t="n">
        <v>7</v>
      </c>
      <c r="I58" s="7" t="n">
        <v>2555367</v>
      </c>
      <c r="J58" s="7" t="n">
        <v>365052</v>
      </c>
      <c r="K58" s="8" t="inlineStr">
        <is>
          <t>⚠ Multi-mall mercenary (3 malls)</t>
        </is>
      </c>
      <c r="L58" s="8" t="inlineStr">
        <is>
          <t>Whitelist + first-refusal clause before rivals rebook</t>
        </is>
      </c>
      <c r="M58" s="7" t="inlineStr">
        <is>
          <t>https://www.instagram.com/communitie.hyd/</t>
        </is>
      </c>
    </row>
    <row r="59">
      <c r="A59" s="5" t="n">
        <v>45</v>
      </c>
      <c r="B59" s="5" t="inlineStr">
        <is>
          <t>@yourgirlyati</t>
        </is>
      </c>
      <c r="C59" s="5" t="inlineStr">
        <is>
          <t>Yati</t>
        </is>
      </c>
      <c r="D59" s="5" t="n">
        <v>52000</v>
      </c>
      <c r="E59" s="5" t="inlineStr">
        <is>
          <t>✨ Mid-Tier (50K-100K)</t>
        </is>
      </c>
      <c r="F59" s="5" t="inlineStr">
        <is>
          <t>Nexus Hyderabad Mall</t>
        </is>
      </c>
      <c r="G59" s="6" t="inlineStr">
        <is>
          <t>Nexus Hyderabad Mall</t>
        </is>
      </c>
      <c r="H59" s="5" t="n">
        <v>1</v>
      </c>
      <c r="I59" s="5" t="n">
        <v>2525943</v>
      </c>
      <c r="J59" s="5" t="n">
        <v>2525943</v>
      </c>
      <c r="K59" s="6" t="inlineStr">
        <is>
          <t>🎯 Competitor loyalist — poach target</t>
        </is>
      </c>
      <c r="L59" s="6" t="inlineStr">
        <is>
          <t>Poach: offer whitelist fee, rival is not boosting them</t>
        </is>
      </c>
      <c r="M59" s="5" t="inlineStr">
        <is>
          <t>https://www.instagram.com/yourgirlyati/</t>
        </is>
      </c>
    </row>
    <row r="60">
      <c r="A60" s="7" t="n">
        <v>46</v>
      </c>
      <c r="B60" s="7" t="inlineStr">
        <is>
          <t>@hyderabad.malayalees</t>
        </is>
      </c>
      <c r="C60" s="7" t="inlineStr">
        <is>
          <t>Hyderabad Malayalees</t>
        </is>
      </c>
      <c r="D60" s="7" t="n">
        <v>14000</v>
      </c>
      <c r="E60" s="7" t="inlineStr">
        <is>
          <t>🎯 Micro (10K-50K)</t>
        </is>
      </c>
      <c r="F60" s="7" t="inlineStr">
        <is>
          <t>Lulu Mall Hyderabad</t>
        </is>
      </c>
      <c r="G60" s="8" t="inlineStr">
        <is>
          <t>Lulu Mall Hyderabad</t>
        </is>
      </c>
      <c r="H60" s="7" t="n">
        <v>7</v>
      </c>
      <c r="I60" s="7" t="n">
        <v>2524640</v>
      </c>
      <c r="J60" s="7" t="n">
        <v>360662</v>
      </c>
      <c r="K60" s="8" t="inlineStr">
        <is>
          <t>🎯 Competitor loyalist — poach target</t>
        </is>
      </c>
      <c r="L60" s="8" t="inlineStr">
        <is>
          <t>Poach: offer whitelist fee, rival is not boosting them</t>
        </is>
      </c>
      <c r="M60" s="7" t="inlineStr">
        <is>
          <t>https://www.instagram.com/hyderabad.malayalees/</t>
        </is>
      </c>
    </row>
    <row r="61">
      <c r="A61" s="5" t="n">
        <v>47</v>
      </c>
      <c r="B61" s="5" t="inlineStr">
        <is>
          <t>@orioleentertainment</t>
        </is>
      </c>
      <c r="C61" s="5" t="inlineStr">
        <is>
          <t>Oriole Entertainment</t>
        </is>
      </c>
      <c r="D61" s="5" t="n">
        <v>28000</v>
      </c>
      <c r="E61" s="5" t="inlineStr">
        <is>
          <t>🎯 Micro (10K-50K)</t>
        </is>
      </c>
      <c r="F61" s="5" t="inlineStr">
        <is>
          <t>KOPA Mall Pune (Lake Shore)</t>
        </is>
      </c>
      <c r="G61" s="6" t="inlineStr">
        <is>
          <t>KOPA Mall Pune (Lake Shore)</t>
        </is>
      </c>
      <c r="H61" s="5" t="n">
        <v>17</v>
      </c>
      <c r="I61" s="5" t="n">
        <v>2515104</v>
      </c>
      <c r="J61" s="5" t="n">
        <v>147947</v>
      </c>
      <c r="K61" s="6" t="inlineStr">
        <is>
          <t>✅ Lake Shore loyalist</t>
        </is>
      </c>
      <c r="L61" s="6" t="inlineStr">
        <is>
          <t>Whitelist now (Partnership Ad code) + exclusivity clause</t>
        </is>
      </c>
      <c r="M61" s="5" t="inlineStr">
        <is>
          <t>https://www.instagram.com/orioleentertainment/</t>
        </is>
      </c>
    </row>
    <row r="62">
      <c r="A62" s="7" t="n">
        <v>48</v>
      </c>
      <c r="B62" s="7" t="inlineStr">
        <is>
          <t>@indianmommie</t>
        </is>
      </c>
      <c r="C62" s="7" t="inlineStr">
        <is>
          <t>Chhaya Sharma |Hyderabadmom</t>
        </is>
      </c>
      <c r="D62" s="7" t="n">
        <v>110000</v>
      </c>
      <c r="E62" s="7" t="inlineStr">
        <is>
          <t>🚀 Macro Creator (100K-1M)</t>
        </is>
      </c>
      <c r="F62" s="7" t="inlineStr">
        <is>
          <t>Sarath City Capital Mall Hyderabad</t>
        </is>
      </c>
      <c r="G62" s="8" t="inlineStr">
        <is>
          <t>Sarath City Capital Mall Hyderabad, Inorbit Mall Cyberabad</t>
        </is>
      </c>
      <c r="H62" s="7" t="n">
        <v>4</v>
      </c>
      <c r="I62" s="7" t="n">
        <v>2508828</v>
      </c>
      <c r="J62" s="7" t="n">
        <v>627207</v>
      </c>
      <c r="K62" s="8" t="inlineStr">
        <is>
          <t>⚠ Multi-mall mercenary (2 malls)</t>
        </is>
      </c>
      <c r="L62" s="8" t="inlineStr">
        <is>
          <t>Poach: offer whitelist fee, rival is not boosting them</t>
        </is>
      </c>
      <c r="M62" s="7" t="inlineStr">
        <is>
          <t>https://www.instagram.com/indianmommie/</t>
        </is>
      </c>
    </row>
    <row r="63">
      <c r="A63" s="5" t="n">
        <v>49</v>
      </c>
      <c r="B63" s="5" t="inlineStr">
        <is>
          <t>@ruchita_sharma_13</t>
        </is>
      </c>
      <c r="C63" s="5" t="inlineStr">
        <is>
          <t>Ruchita sharma</t>
        </is>
      </c>
      <c r="D63" s="5" t="n">
        <v>13000</v>
      </c>
      <c r="E63" s="5" t="inlineStr">
        <is>
          <t>🎯 Micro (10K-50K)</t>
        </is>
      </c>
      <c r="F63" s="5" t="inlineStr">
        <is>
          <t>Nexus Hyderabad Mall</t>
        </is>
      </c>
      <c r="G63" s="6" t="inlineStr">
        <is>
          <t>Nexus Hyderabad Mall</t>
        </is>
      </c>
      <c r="H63" s="5" t="n">
        <v>1</v>
      </c>
      <c r="I63" s="5" t="n">
        <v>2503102</v>
      </c>
      <c r="J63" s="5" t="n">
        <v>2503102</v>
      </c>
      <c r="K63" s="6" t="inlineStr">
        <is>
          <t>🎯 Competitor loyalist — poach target</t>
        </is>
      </c>
      <c r="L63" s="6" t="inlineStr">
        <is>
          <t>Poach: offer whitelist fee, rival is not boosting them</t>
        </is>
      </c>
      <c r="M63" s="5" t="inlineStr">
        <is>
          <t>https://www.instagram.com/ruchita_sharma_13/</t>
        </is>
      </c>
    </row>
    <row r="64">
      <c r="A64" s="7" t="n">
        <v>50</v>
      </c>
      <c r="B64" s="7" t="inlineStr">
        <is>
          <t>@bewitching_gal</t>
        </is>
      </c>
      <c r="C64" s="7" t="inlineStr">
        <is>
          <t>HARIKA BALLA🙆🏻‍♀️✨</t>
        </is>
      </c>
      <c r="D64" s="7" t="n">
        <v>158000</v>
      </c>
      <c r="E64" s="7" t="inlineStr">
        <is>
          <t>🚀 Macro Creator (100K-1M)</t>
        </is>
      </c>
      <c r="F64" s="7" t="inlineStr">
        <is>
          <t>Inorbit Mall Cyberabad</t>
        </is>
      </c>
      <c r="G64" s="8" t="inlineStr">
        <is>
          <t>Inorbit Mall Cyberabad</t>
        </is>
      </c>
      <c r="H64" s="7" t="n">
        <v>3</v>
      </c>
      <c r="I64" s="7" t="n">
        <v>2468915</v>
      </c>
      <c r="J64" s="7" t="n">
        <v>822971</v>
      </c>
      <c r="K64" s="8" t="inlineStr">
        <is>
          <t>🎯 Competitor loyalist — poach target</t>
        </is>
      </c>
      <c r="L64" s="8" t="inlineStr">
        <is>
          <t>Poach: offer whitelist fee, rival is not boosting them</t>
        </is>
      </c>
      <c r="M64" s="7" t="inlineStr">
        <is>
          <t>https://www.instagram.com/bewitching_gal/</t>
        </is>
      </c>
    </row>
    <row r="65">
      <c r="A65" s="5" t="n">
        <v>51</v>
      </c>
      <c r="B65" s="5" t="inlineStr">
        <is>
          <t>@gnapika.reddyy</t>
        </is>
      </c>
      <c r="C65" s="5" t="inlineStr">
        <is>
          <t>Gnapi🧿</t>
        </is>
      </c>
      <c r="D65" s="5" t="n">
        <v>7531</v>
      </c>
      <c r="E65" s="5" t="inlineStr">
        <is>
          <t>🌱 Nano (&lt;10K)</t>
        </is>
      </c>
      <c r="F65" s="5" t="inlineStr">
        <is>
          <t>Lulu Mall Hyderabad</t>
        </is>
      </c>
      <c r="G65" s="6" t="inlineStr">
        <is>
          <t>Lulu Mall Hyderabad</t>
        </is>
      </c>
      <c r="H65" s="5" t="n">
        <v>2</v>
      </c>
      <c r="I65" s="5" t="n">
        <v>2455105</v>
      </c>
      <c r="J65" s="5" t="n">
        <v>1227552</v>
      </c>
      <c r="K65" s="6" t="inlineStr">
        <is>
          <t>🎯 Competitor loyalist — poach target</t>
        </is>
      </c>
      <c r="L65" s="6" t="inlineStr">
        <is>
          <t>Poach: offer whitelist fee, rival is not boosting them</t>
        </is>
      </c>
      <c r="M65" s="5" t="inlineStr">
        <is>
          <t>https://www.instagram.com/gnapika.reddyy/</t>
        </is>
      </c>
    </row>
    <row r="66">
      <c r="A66" s="7" t="n">
        <v>52</v>
      </c>
      <c r="B66" s="7" t="inlineStr">
        <is>
          <t>@shiwangivijaywargiya</t>
        </is>
      </c>
      <c r="C66" s="7" t="inlineStr">
        <is>
          <t>Shiwangi | Fashion &amp;amp; Lifestyle Content Creator</t>
        </is>
      </c>
      <c r="D66" s="7" t="n">
        <v>31000</v>
      </c>
      <c r="E66" s="7" t="inlineStr">
        <is>
          <t>🎯 Micro (10K-50K)</t>
        </is>
      </c>
      <c r="F66" s="7" t="inlineStr">
        <is>
          <t>Nexus Hyderabad Mall</t>
        </is>
      </c>
      <c r="G66" s="8" t="inlineStr">
        <is>
          <t>Nexus Hyderabad Mall</t>
        </is>
      </c>
      <c r="H66" s="7" t="n">
        <v>3</v>
      </c>
      <c r="I66" s="7" t="n">
        <v>2329518</v>
      </c>
      <c r="J66" s="7" t="n">
        <v>776506</v>
      </c>
      <c r="K66" s="8" t="inlineStr">
        <is>
          <t>🎯 Competitor loyalist — poach target</t>
        </is>
      </c>
      <c r="L66" s="8" t="inlineStr">
        <is>
          <t>Poach: offer whitelist fee, rival is not boosting them</t>
        </is>
      </c>
      <c r="M66" s="7" t="inlineStr">
        <is>
          <t>https://www.instagram.com/shiwangivijaywargiya/</t>
        </is>
      </c>
    </row>
    <row r="67">
      <c r="A67" s="5" t="n">
        <v>53</v>
      </c>
      <c r="B67" s="5" t="inlineStr">
        <is>
          <t>@rahulslifestyle</t>
        </is>
      </c>
      <c r="C67" s="5" t="inlineStr">
        <is>
          <t>Rahul Nagrani</t>
        </is>
      </c>
      <c r="D67" s="5" t="n">
        <v>19000</v>
      </c>
      <c r="E67" s="5" t="inlineStr">
        <is>
          <t>🎯 Micro (10K-50K)</t>
        </is>
      </c>
      <c r="F67" s="5" t="inlineStr">
        <is>
          <t>Nexus Hyderabad Mall</t>
        </is>
      </c>
      <c r="G67" s="6" t="inlineStr">
        <is>
          <t>Nexus Hyderabad Mall</t>
        </is>
      </c>
      <c r="H67" s="5" t="n">
        <v>1</v>
      </c>
      <c r="I67" s="5" t="n">
        <v>2298307</v>
      </c>
      <c r="J67" s="5" t="n">
        <v>2298307</v>
      </c>
      <c r="K67" s="6" t="inlineStr">
        <is>
          <t>🎯 Competitor loyalist — poach target</t>
        </is>
      </c>
      <c r="L67" s="6" t="inlineStr">
        <is>
          <t>Poach: offer whitelist fee, rival is not boosting them</t>
        </is>
      </c>
      <c r="M67" s="5" t="inlineStr">
        <is>
          <t>https://www.instagram.com/rahulslifestyle/</t>
        </is>
      </c>
    </row>
    <row r="68">
      <c r="A68" s="7" t="n">
        <v>54</v>
      </c>
      <c r="B68" s="7" t="inlineStr">
        <is>
          <t>@humorouslyyours</t>
        </is>
      </c>
      <c r="C68" s="7" t="inlineStr">
        <is>
          <t>Vipul Goyal</t>
        </is>
      </c>
      <c r="D68" s="7" t="n">
        <v>364000</v>
      </c>
      <c r="E68" s="7" t="inlineStr">
        <is>
          <t>🚀 Macro Creator (100K-1M)</t>
        </is>
      </c>
      <c r="F68" s="7" t="inlineStr">
        <is>
          <t>KOPA Mall Pune (Lake Shore)</t>
        </is>
      </c>
      <c r="G68" s="8" t="inlineStr">
        <is>
          <t>KOPA Mall Pune (Lake Shore)</t>
        </is>
      </c>
      <c r="H68" s="7" t="n">
        <v>17</v>
      </c>
      <c r="I68" s="7" t="n">
        <v>2174791</v>
      </c>
      <c r="J68" s="7" t="n">
        <v>127928</v>
      </c>
      <c r="K68" s="8" t="inlineStr">
        <is>
          <t>✅ Lake Shore loyalist</t>
        </is>
      </c>
      <c r="L68" s="8" t="inlineStr">
        <is>
          <t>Whitelist now (Partnership Ad code) + exclusivity clause</t>
        </is>
      </c>
      <c r="M68" s="7" t="inlineStr">
        <is>
          <t>https://www.instagram.com/humorouslyyours/</t>
        </is>
      </c>
    </row>
    <row r="69">
      <c r="A69" s="5" t="n">
        <v>55</v>
      </c>
      <c r="B69" s="5" t="inlineStr">
        <is>
          <t>@guess</t>
        </is>
      </c>
      <c r="C69" s="5" t="inlineStr">
        <is>
          <t>GUESS</t>
        </is>
      </c>
      <c r="D69" s="5" t="n">
        <v>9000000</v>
      </c>
      <c r="E69" s="5" t="inlineStr">
        <is>
          <t>🌟 Mega Creator (1M+)</t>
        </is>
      </c>
      <c r="F69" s="5" t="inlineStr">
        <is>
          <t>Lake Shore Y Junction (Hyderabad)</t>
        </is>
      </c>
      <c r="G69" s="6" t="inlineStr">
        <is>
          <t>Lake Shore Y Junction (Hyderabad)</t>
        </is>
      </c>
      <c r="H69" s="5" t="n">
        <v>9</v>
      </c>
      <c r="I69" s="5" t="n">
        <v>2128097</v>
      </c>
      <c r="J69" s="5" t="n">
        <v>236455</v>
      </c>
      <c r="K69" s="6" t="inlineStr">
        <is>
          <t>✅ Lake Shore loyalist</t>
        </is>
      </c>
      <c r="L69" s="6" t="inlineStr">
        <is>
          <t>Whitelist now (Partnership Ad code) + exclusivity clause</t>
        </is>
      </c>
      <c r="M69" s="5" t="inlineStr">
        <is>
          <t>https://www.instagram.com/guess/</t>
        </is>
      </c>
    </row>
    <row r="70">
      <c r="A70" s="7" t="n">
        <v>56</v>
      </c>
      <c r="B70" s="7" t="inlineStr">
        <is>
          <t>@hpa.pickleball</t>
        </is>
      </c>
      <c r="C70" s="7" t="inlineStr">
        <is>
          <t>Hyderabad Pickleball Association</t>
        </is>
      </c>
      <c r="D70" s="7" t="n">
        <v>1294</v>
      </c>
      <c r="E70" s="7" t="inlineStr">
        <is>
          <t>🌱 Nano (&lt;10K)</t>
        </is>
      </c>
      <c r="F70" s="7" t="inlineStr">
        <is>
          <t>Lulu Mall Hyderabad</t>
        </is>
      </c>
      <c r="G70" s="8" t="inlineStr">
        <is>
          <t>Lulu Mall Hyderabad</t>
        </is>
      </c>
      <c r="H70" s="7" t="n">
        <v>3</v>
      </c>
      <c r="I70" s="7" t="n">
        <v>2126928</v>
      </c>
      <c r="J70" s="7" t="n">
        <v>708976</v>
      </c>
      <c r="K70" s="8" t="inlineStr">
        <is>
          <t>🎯 Competitor loyalist — poach target</t>
        </is>
      </c>
      <c r="L70" s="8" t="inlineStr">
        <is>
          <t>Poach: offer whitelist fee, rival is not boosting them</t>
        </is>
      </c>
      <c r="M70" s="7" t="inlineStr">
        <is>
          <t>https://www.instagram.com/hpa.pickleball/</t>
        </is>
      </c>
    </row>
    <row r="71">
      <c r="A71" s="5" t="n">
        <v>57</v>
      </c>
      <c r="B71" s="5" t="inlineStr">
        <is>
          <t>@ramyaapasupuleti</t>
        </is>
      </c>
      <c r="C71" s="5" t="inlineStr">
        <is>
          <t>Sai Ramya Pasupuleti</t>
        </is>
      </c>
      <c r="D71" s="5" t="n">
        <v>682000</v>
      </c>
      <c r="E71" s="5" t="inlineStr">
        <is>
          <t>🚀 Macro Creator (100K-1M)</t>
        </is>
      </c>
      <c r="F71" s="5" t="inlineStr">
        <is>
          <t>Inorbit Mall Cyberabad</t>
        </is>
      </c>
      <c r="G71" s="6" t="inlineStr">
        <is>
          <t>Inorbit Mall Cyberabad</t>
        </is>
      </c>
      <c r="H71" s="5" t="n">
        <v>1</v>
      </c>
      <c r="I71" s="5" t="n">
        <v>2088785</v>
      </c>
      <c r="J71" s="5" t="n">
        <v>2088785</v>
      </c>
      <c r="K71" s="6" t="inlineStr">
        <is>
          <t>🎯 Competitor loyalist — poach target</t>
        </is>
      </c>
      <c r="L71" s="6" t="inlineStr">
        <is>
          <t>Poach: offer whitelist fee, rival is not boosting them</t>
        </is>
      </c>
      <c r="M71" s="5" t="inlineStr">
        <is>
          <t>https://www.instagram.com/ramyaapasupuleti/</t>
        </is>
      </c>
    </row>
    <row r="72">
      <c r="A72" s="7" t="n">
        <v>58</v>
      </c>
      <c r="B72" s="7" t="inlineStr">
        <is>
          <t>@asmi_k__</t>
        </is>
      </c>
      <c r="C72" s="7" t="inlineStr">
        <is>
          <t>Asmi Kulkarni</t>
        </is>
      </c>
      <c r="D72" s="7" t="n">
        <v>23000</v>
      </c>
      <c r="E72" s="7" t="inlineStr">
        <is>
          <t>🎯 Micro (10K-50K)</t>
        </is>
      </c>
      <c r="F72" s="7" t="inlineStr">
        <is>
          <t>Phoenix Mall of the Millennium Wakad</t>
        </is>
      </c>
      <c r="G72" s="8" t="inlineStr">
        <is>
          <t>Phoenix Mall of the Millennium Wakad, Phoenix Avenue of Stars Pune</t>
        </is>
      </c>
      <c r="H72" s="7" t="n">
        <v>4</v>
      </c>
      <c r="I72" s="7" t="n">
        <v>2066431</v>
      </c>
      <c r="J72" s="7" t="n">
        <v>516607</v>
      </c>
      <c r="K72" s="8" t="inlineStr">
        <is>
          <t>⚠ Multi-mall mercenary (2 malls)</t>
        </is>
      </c>
      <c r="L72" s="8" t="inlineStr">
        <is>
          <t>Poach: offer whitelist fee, rival is not boosting them</t>
        </is>
      </c>
      <c r="M72" s="7" t="inlineStr">
        <is>
          <t>https://www.instagram.com/asmi_k__/</t>
        </is>
      </c>
    </row>
    <row r="73">
      <c r="A73" s="5" t="n">
        <v>59</v>
      </c>
      <c r="B73" s="5" t="inlineStr">
        <is>
          <t>@ensemblebyarj</t>
        </is>
      </c>
      <c r="C73" s="5" t="inlineStr">
        <is>
          <t>Ensemble - Luxury Events &amp;amp; Experiences</t>
        </is>
      </c>
      <c r="D73" s="5" t="n">
        <v>45000</v>
      </c>
      <c r="E73" s="5" t="inlineStr">
        <is>
          <t>🎯 Micro (10K-50K)</t>
        </is>
      </c>
      <c r="F73" s="5" t="inlineStr">
        <is>
          <t>KOPA Mall Pune (Lake Shore)</t>
        </is>
      </c>
      <c r="G73" s="6" t="inlineStr">
        <is>
          <t>KOPA Mall Pune (Lake Shore)</t>
        </is>
      </c>
      <c r="H73" s="5" t="n">
        <v>23</v>
      </c>
      <c r="I73" s="5" t="n">
        <v>2060896</v>
      </c>
      <c r="J73" s="5" t="n">
        <v>89604</v>
      </c>
      <c r="K73" s="6" t="inlineStr">
        <is>
          <t>✅ Lake Shore loyalist</t>
        </is>
      </c>
      <c r="L73" s="6" t="inlineStr">
        <is>
          <t>Whitelist now (Partnership Ad code) + exclusivity clause</t>
        </is>
      </c>
      <c r="M73" s="5" t="inlineStr">
        <is>
          <t>https://www.instagram.com/ensemblebyarj/</t>
        </is>
      </c>
    </row>
    <row r="74">
      <c r="A74" s="7" t="n">
        <v>60</v>
      </c>
      <c r="B74" s="7" t="inlineStr">
        <is>
          <t>@getsmytten</t>
        </is>
      </c>
      <c r="C74" s="7" t="inlineStr">
        <is>
          <t>Smytten</t>
        </is>
      </c>
      <c r="D74" s="7" t="n">
        <v>331000</v>
      </c>
      <c r="E74" s="7" t="inlineStr">
        <is>
          <t>🚀 Macro Creator (100K-1M)</t>
        </is>
      </c>
      <c r="F74" s="7" t="inlineStr">
        <is>
          <t>Lulu Mall Hyderabad</t>
        </is>
      </c>
      <c r="G74" s="8" t="inlineStr">
        <is>
          <t>Lulu Mall Hyderabad</t>
        </is>
      </c>
      <c r="H74" s="7" t="n">
        <v>1</v>
      </c>
      <c r="I74" s="7" t="n">
        <v>2020516</v>
      </c>
      <c r="J74" s="7" t="n">
        <v>2020516</v>
      </c>
      <c r="K74" s="8" t="inlineStr">
        <is>
          <t>🎯 Competitor loyalist — poach target</t>
        </is>
      </c>
      <c r="L74" s="8" t="inlineStr">
        <is>
          <t>Poach: offer whitelist fee, rival is not boosting them</t>
        </is>
      </c>
      <c r="M74" s="7" t="inlineStr">
        <is>
          <t>https://www.instagram.com/getsmytten/</t>
        </is>
      </c>
    </row>
    <row r="75">
      <c r="A75" s="5" t="n">
        <v>61</v>
      </c>
      <c r="B75" s="5" t="inlineStr">
        <is>
          <t>@its.me.abhishekgupta</t>
        </is>
      </c>
      <c r="C75" s="5" t="inlineStr">
        <is>
          <t>Abhishek Gupta 🧿</t>
        </is>
      </c>
      <c r="D75" s="5" t="n">
        <v>250000</v>
      </c>
      <c r="E75" s="5" t="inlineStr">
        <is>
          <t>🚀 Macro Creator (100K-1M)</t>
        </is>
      </c>
      <c r="F75" s="5" t="inlineStr">
        <is>
          <t>Nexus Hyderabad Mall</t>
        </is>
      </c>
      <c r="G75" s="6" t="inlineStr">
        <is>
          <t>Nexus Hyderabad Mall</t>
        </is>
      </c>
      <c r="H75" s="5" t="n">
        <v>1</v>
      </c>
      <c r="I75" s="5" t="n">
        <v>2007892</v>
      </c>
      <c r="J75" s="5" t="n">
        <v>2007892</v>
      </c>
      <c r="K75" s="6" t="inlineStr">
        <is>
          <t>🎯 Competitor loyalist — poach target</t>
        </is>
      </c>
      <c r="L75" s="6" t="inlineStr">
        <is>
          <t>Poach: offer whitelist fee, rival is not boosting them</t>
        </is>
      </c>
      <c r="M75" s="5" t="inlineStr">
        <is>
          <t>https://www.instagram.com/its.me.abhishekgupta/</t>
        </is>
      </c>
    </row>
    <row r="76">
      <c r="A76" s="7" t="n">
        <v>62</v>
      </c>
      <c r="B76" s="7" t="inlineStr">
        <is>
          <t>@shottindia</t>
        </is>
      </c>
      <c r="C76" s="7" t="inlineStr">
        <is>
          <t>SHOTT India</t>
        </is>
      </c>
      <c r="D76" s="7" t="n">
        <v>47000</v>
      </c>
      <c r="E76" s="7" t="inlineStr">
        <is>
          <t>🎯 Micro (10K-50K)</t>
        </is>
      </c>
      <c r="F76" s="7" t="inlineStr">
        <is>
          <t>Lake Shore Y Junction (Hyderabad)</t>
        </is>
      </c>
      <c r="G76" s="8" t="inlineStr">
        <is>
          <t>Lake Shore Y Junction (Hyderabad), KOPA Mall Pune (Lake Shore)</t>
        </is>
      </c>
      <c r="H76" s="7" t="n">
        <v>22</v>
      </c>
      <c r="I76" s="7" t="n">
        <v>1984871</v>
      </c>
      <c r="J76" s="7" t="n">
        <v>90221</v>
      </c>
      <c r="K76" s="8" t="inlineStr">
        <is>
          <t>⚠ Multi-mall mercenary (2 malls)</t>
        </is>
      </c>
      <c r="L76" s="8" t="inlineStr">
        <is>
          <t>Whitelist + first-refusal clause before rivals rebook</t>
        </is>
      </c>
      <c r="M76" s="7" t="inlineStr">
        <is>
          <t>https://www.instagram.com/shottindia/</t>
        </is>
      </c>
    </row>
    <row r="77">
      <c r="A77" s="5" t="n">
        <v>63</v>
      </c>
      <c r="B77" s="5" t="inlineStr">
        <is>
          <t>@cashifystores</t>
        </is>
      </c>
      <c r="C77" s="5" t="inlineStr">
        <is>
          <t>Cashify Stores</t>
        </is>
      </c>
      <c r="D77" s="5" t="n">
        <v>259000</v>
      </c>
      <c r="E77" s="5" t="inlineStr">
        <is>
          <t>🚀 Macro Creator (100K-1M)</t>
        </is>
      </c>
      <c r="F77" s="5" t="inlineStr">
        <is>
          <t>Lulu Mall Hyderabad</t>
        </is>
      </c>
      <c r="G77" s="6" t="inlineStr">
        <is>
          <t>Lulu Mall Hyderabad</t>
        </is>
      </c>
      <c r="H77" s="5" t="n">
        <v>1</v>
      </c>
      <c r="I77" s="5" t="n">
        <v>1984113</v>
      </c>
      <c r="J77" s="5" t="n">
        <v>1984113</v>
      </c>
      <c r="K77" s="6" t="inlineStr">
        <is>
          <t>🎯 Competitor loyalist — poach target</t>
        </is>
      </c>
      <c r="L77" s="6" t="inlineStr">
        <is>
          <t>Watchlist — brief for a test slot</t>
        </is>
      </c>
      <c r="M77" s="5" t="inlineStr">
        <is>
          <t>https://www.instagram.com/cashifystores/</t>
        </is>
      </c>
    </row>
    <row r="78">
      <c r="A78" s="7" t="n">
        <v>64</v>
      </c>
      <c r="B78" s="7" t="inlineStr">
        <is>
          <t>@therajivmakhni</t>
        </is>
      </c>
      <c r="C78" s="7" t="inlineStr">
        <is>
          <t>Rajiv Makhni | Gadget Guru</t>
        </is>
      </c>
      <c r="D78" s="7" t="n">
        <v>2000000</v>
      </c>
      <c r="E78" s="7" t="inlineStr">
        <is>
          <t>🌟 Mega Creator (1M+)</t>
        </is>
      </c>
      <c r="F78" s="7" t="inlineStr">
        <is>
          <t>Phoenix Mall of the Millennium Wakad</t>
        </is>
      </c>
      <c r="G78" s="8" t="inlineStr">
        <is>
          <t>Phoenix Mall of the Millennium Wakad, Phoenix Avenue of Stars Pune</t>
        </is>
      </c>
      <c r="H78" s="7" t="n">
        <v>2</v>
      </c>
      <c r="I78" s="7" t="n">
        <v>1982378</v>
      </c>
      <c r="J78" s="7" t="n">
        <v>991189</v>
      </c>
      <c r="K78" s="8" t="inlineStr">
        <is>
          <t>⚠ Multi-mall mercenary (2 malls)</t>
        </is>
      </c>
      <c r="L78" s="8" t="inlineStr">
        <is>
          <t>Watchlist — brief for a test slot</t>
        </is>
      </c>
      <c r="M78" s="7" t="inlineStr">
        <is>
          <t>https://www.instagram.com/therajivmakhni/</t>
        </is>
      </c>
    </row>
    <row r="79">
      <c r="A79" s="5" t="n">
        <v>65</v>
      </c>
      <c r="B79" s="5" t="inlineStr">
        <is>
          <t>@thegourmetfest</t>
        </is>
      </c>
      <c r="C79" s="5" t="inlineStr">
        <is>
          <t>The Gourmet Fest</t>
        </is>
      </c>
      <c r="D79" s="5" t="n">
        <v>3950</v>
      </c>
      <c r="E79" s="5" t="inlineStr">
        <is>
          <t>🌱 Nano (&lt;10K)</t>
        </is>
      </c>
      <c r="F79" s="5" t="inlineStr">
        <is>
          <t>Lake Shore Y Junction (Hyderabad)</t>
        </is>
      </c>
      <c r="G79" s="6" t="inlineStr">
        <is>
          <t>Lake Shore Y Junction (Hyderabad), KOPA Mall Pune (Lake Shore)</t>
        </is>
      </c>
      <c r="H79" s="5" t="n">
        <v>18</v>
      </c>
      <c r="I79" s="5" t="n">
        <v>1981858</v>
      </c>
      <c r="J79" s="5" t="n">
        <v>110103</v>
      </c>
      <c r="K79" s="6" t="inlineStr">
        <is>
          <t>⚠ Multi-mall mercenary (2 malls)</t>
        </is>
      </c>
      <c r="L79" s="6" t="inlineStr">
        <is>
          <t>Whitelist + first-refusal clause before rivals rebook</t>
        </is>
      </c>
      <c r="M79" s="5" t="inlineStr">
        <is>
          <t>https://www.instagram.com/thegourmetfest/</t>
        </is>
      </c>
    </row>
    <row r="80">
      <c r="A80" s="7" t="n">
        <v>66</v>
      </c>
      <c r="B80" s="7" t="inlineStr">
        <is>
          <t>@atkyma</t>
        </is>
      </c>
      <c r="C80" s="7" t="inlineStr">
        <is>
          <t>Kyma</t>
        </is>
      </c>
      <c r="D80" s="7" t="n">
        <v>24000</v>
      </c>
      <c r="E80" s="7" t="inlineStr">
        <is>
          <t>🎯 Micro (10K-50K)</t>
        </is>
      </c>
      <c r="F80" s="7" t="inlineStr">
        <is>
          <t>KOPA Mall Pune (Lake Shore)</t>
        </is>
      </c>
      <c r="G80" s="8" t="inlineStr">
        <is>
          <t>KOPA Mall Pune (Lake Shore)</t>
        </is>
      </c>
      <c r="H80" s="7" t="n">
        <v>24</v>
      </c>
      <c r="I80" s="7" t="n">
        <v>1948950</v>
      </c>
      <c r="J80" s="7" t="n">
        <v>81206</v>
      </c>
      <c r="K80" s="8" t="inlineStr">
        <is>
          <t>✅ Lake Shore loyalist</t>
        </is>
      </c>
      <c r="L80" s="8" t="inlineStr">
        <is>
          <t>Whitelist now (Partnership Ad code) + exclusivity clause</t>
        </is>
      </c>
      <c r="M80" s="7" t="inlineStr">
        <is>
          <t>https://www.instagram.com/atkyma/</t>
        </is>
      </c>
    </row>
    <row r="81">
      <c r="A81" s="5" t="n">
        <v>67</v>
      </c>
      <c r="B81" s="5" t="inlineStr">
        <is>
          <t>@just.snikdha</t>
        </is>
      </c>
      <c r="C81" s="5" t="inlineStr">
        <is>
          <t>Snikdha K</t>
        </is>
      </c>
      <c r="D81" s="5" t="n">
        <v>159000</v>
      </c>
      <c r="E81" s="5" t="inlineStr">
        <is>
          <t>🚀 Macro Creator (100K-1M)</t>
        </is>
      </c>
      <c r="F81" s="5" t="inlineStr">
        <is>
          <t>Inorbit Mall Cyberabad</t>
        </is>
      </c>
      <c r="G81" s="6" t="inlineStr">
        <is>
          <t>Inorbit Mall Cyberabad</t>
        </is>
      </c>
      <c r="H81" s="5" t="n">
        <v>1</v>
      </c>
      <c r="I81" s="5" t="n">
        <v>1894326</v>
      </c>
      <c r="J81" s="5" t="n">
        <v>1894326</v>
      </c>
      <c r="K81" s="6" t="inlineStr">
        <is>
          <t>🎯 Competitor loyalist — poach target</t>
        </is>
      </c>
      <c r="L81" s="6" t="inlineStr">
        <is>
          <t>Watchlist — brief for a test slot</t>
        </is>
      </c>
      <c r="M81" s="5" t="inlineStr">
        <is>
          <t>https://www.instagram.com/just.snikdha/</t>
        </is>
      </c>
    </row>
    <row r="82">
      <c r="A82" s="7" t="n">
        <v>68</v>
      </c>
      <c r="B82" s="7" t="inlineStr">
        <is>
          <t>@thejamroom.live</t>
        </is>
      </c>
      <c r="C82" s="7" t="inlineStr">
        <is>
          <t>The Jam Room</t>
        </is>
      </c>
      <c r="D82" s="7" t="n">
        <v>21000</v>
      </c>
      <c r="E82" s="7" t="inlineStr">
        <is>
          <t>🎯 Micro (10K-50K)</t>
        </is>
      </c>
      <c r="F82" s="7" t="inlineStr">
        <is>
          <t>Lake Shore Y Junction (Hyderabad)</t>
        </is>
      </c>
      <c r="G82" s="8" t="inlineStr">
        <is>
          <t>Lake Shore Y Junction (Hyderabad)</t>
        </is>
      </c>
      <c r="H82" s="7" t="n">
        <v>7</v>
      </c>
      <c r="I82" s="7" t="n">
        <v>1873049</v>
      </c>
      <c r="J82" s="7" t="n">
        <v>267578</v>
      </c>
      <c r="K82" s="8" t="inlineStr">
        <is>
          <t>✅ Lake Shore loyalist</t>
        </is>
      </c>
      <c r="L82" s="8" t="inlineStr">
        <is>
          <t>Whitelist now (Partnership Ad code) + exclusivity clause</t>
        </is>
      </c>
      <c r="M82" s="7" t="inlineStr">
        <is>
          <t>https://www.instagram.com/thejamroom.live/</t>
        </is>
      </c>
    </row>
    <row r="83">
      <c r="A83" s="5" t="n">
        <v>69</v>
      </c>
      <c r="B83" s="5" t="inlineStr">
        <is>
          <t>@ananda.musicclub</t>
        </is>
      </c>
      <c r="C83" s="5" t="inlineStr">
        <is>
          <t>Ananda &amp;#064;Communitie</t>
        </is>
      </c>
      <c r="D83" s="5" t="n">
        <v>3553</v>
      </c>
      <c r="E83" s="5" t="inlineStr">
        <is>
          <t>🌱 Nano (&lt;10K)</t>
        </is>
      </c>
      <c r="F83" s="5" t="inlineStr">
        <is>
          <t>Inorbit Mall Cyberabad</t>
        </is>
      </c>
      <c r="G83" s="6" t="inlineStr">
        <is>
          <t>Inorbit Mall Cyberabad</t>
        </is>
      </c>
      <c r="H83" s="5" t="n">
        <v>1</v>
      </c>
      <c r="I83" s="5" t="n">
        <v>1844873</v>
      </c>
      <c r="J83" s="5" t="n">
        <v>1844873</v>
      </c>
      <c r="K83" s="6" t="inlineStr">
        <is>
          <t>🎯 Competitor loyalist — poach target</t>
        </is>
      </c>
      <c r="L83" s="6" t="inlineStr">
        <is>
          <t>Watchlist — brief for a test slot</t>
        </is>
      </c>
      <c r="M83" s="5" t="inlineStr">
        <is>
          <t>https://www.instagram.com/ananda.musicclub/</t>
        </is>
      </c>
    </row>
    <row r="84">
      <c r="A84" s="7" t="n">
        <v>70</v>
      </c>
      <c r="B84" s="7" t="inlineStr">
        <is>
          <t>@swissbeautyselect</t>
        </is>
      </c>
      <c r="C84" s="7" t="inlineStr">
        <is>
          <t>Swiss Beauty Select</t>
        </is>
      </c>
      <c r="D84" s="7" t="n">
        <v>167000</v>
      </c>
      <c r="E84" s="7" t="inlineStr">
        <is>
          <t>🚀 Macro Creator (100K-1M)</t>
        </is>
      </c>
      <c r="F84" s="7" t="inlineStr">
        <is>
          <t>Lulu Mall Hyderabad</t>
        </is>
      </c>
      <c r="G84" s="8" t="inlineStr">
        <is>
          <t>Lulu Mall Hyderabad</t>
        </is>
      </c>
      <c r="H84" s="7" t="n">
        <v>1</v>
      </c>
      <c r="I84" s="7" t="n">
        <v>1806016</v>
      </c>
      <c r="J84" s="7" t="n">
        <v>1806016</v>
      </c>
      <c r="K84" s="8" t="inlineStr">
        <is>
          <t>🎯 Competitor loyalist — poach target</t>
        </is>
      </c>
      <c r="L84" s="8" t="inlineStr">
        <is>
          <t>Watchlist — brief for a test slot</t>
        </is>
      </c>
      <c r="M84" s="7" t="inlineStr">
        <is>
          <t>https://www.instagram.com/swissbeautyselect/</t>
        </is>
      </c>
    </row>
    <row r="85">
      <c r="A85" s="5" t="n">
        <v>71</v>
      </c>
      <c r="B85" s="5" t="inlineStr">
        <is>
          <t>@vogueandvanities_pari</t>
        </is>
      </c>
      <c r="C85" s="5" t="inlineStr">
        <is>
          <t>Paridhi Gulati | Fashion 💎</t>
        </is>
      </c>
      <c r="D85" s="5" t="n">
        <v>60000</v>
      </c>
      <c r="E85" s="5" t="inlineStr">
        <is>
          <t>✨ Mid-Tier (50K-100K)</t>
        </is>
      </c>
      <c r="F85" s="5" t="inlineStr">
        <is>
          <t>Nexus Hyderabad Mall</t>
        </is>
      </c>
      <c r="G85" s="6" t="inlineStr">
        <is>
          <t>Nexus Hyderabad Mall</t>
        </is>
      </c>
      <c r="H85" s="5" t="n">
        <v>3</v>
      </c>
      <c r="I85" s="5" t="n">
        <v>1802813</v>
      </c>
      <c r="J85" s="5" t="n">
        <v>600937</v>
      </c>
      <c r="K85" s="6" t="inlineStr">
        <is>
          <t>🎯 Competitor loyalist — poach target</t>
        </is>
      </c>
      <c r="L85" s="6" t="inlineStr">
        <is>
          <t>Watchlist — brief for a test slot</t>
        </is>
      </c>
      <c r="M85" s="5" t="inlineStr">
        <is>
          <t>https://www.instagram.com/vogueandvanities_pari/</t>
        </is>
      </c>
    </row>
    <row r="86">
      <c r="A86" s="7" t="n">
        <v>72</v>
      </c>
      <c r="B86" s="7" t="inlineStr">
        <is>
          <t>@teamaditevents</t>
        </is>
      </c>
      <c r="C86" s="7" t="inlineStr">
        <is>
          <t>TeamADitpune</t>
        </is>
      </c>
      <c r="D86" s="7" t="n">
        <v>1852</v>
      </c>
      <c r="E86" s="7" t="inlineStr">
        <is>
          <t>🌱 Nano (&lt;10K)</t>
        </is>
      </c>
      <c r="F86" s="7" t="inlineStr">
        <is>
          <t>Lake Shore Y Junction (Hyderabad)</t>
        </is>
      </c>
      <c r="G86" s="8" t="inlineStr">
        <is>
          <t>Lake Shore Y Junction (Hyderabad), KOPA Mall Pune (Lake Shore)</t>
        </is>
      </c>
      <c r="H86" s="7" t="n">
        <v>18</v>
      </c>
      <c r="I86" s="7" t="n">
        <v>1770960</v>
      </c>
      <c r="J86" s="7" t="n">
        <v>98386</v>
      </c>
      <c r="K86" s="8" t="inlineStr">
        <is>
          <t>⚠ Multi-mall mercenary (2 malls)</t>
        </is>
      </c>
      <c r="L86" s="8" t="inlineStr">
        <is>
          <t>Whitelist + first-refusal clause before rivals rebook</t>
        </is>
      </c>
      <c r="M86" s="7" t="inlineStr">
        <is>
          <t>https://www.instagram.com/teamaditevents/</t>
        </is>
      </c>
    </row>
    <row r="87">
      <c r="A87" s="5" t="n">
        <v>73</v>
      </c>
      <c r="B87" s="5" t="inlineStr">
        <is>
          <t>@__vidhisha___</t>
        </is>
      </c>
      <c r="C87" s="5" t="inlineStr">
        <is>
          <t>Vidhisha Patel</t>
        </is>
      </c>
      <c r="D87" s="5" t="n">
        <v>31000</v>
      </c>
      <c r="E87" s="5" t="inlineStr">
        <is>
          <t>🎯 Micro (10K-50K)</t>
        </is>
      </c>
      <c r="F87" s="5" t="inlineStr">
        <is>
          <t>Nexus Hyderabad Mall</t>
        </is>
      </c>
      <c r="G87" s="6" t="inlineStr">
        <is>
          <t>Nexus Hyderabad Mall</t>
        </is>
      </c>
      <c r="H87" s="5" t="n">
        <v>1</v>
      </c>
      <c r="I87" s="5" t="n">
        <v>1731838</v>
      </c>
      <c r="J87" s="5" t="n">
        <v>1731838</v>
      </c>
      <c r="K87" s="6" t="inlineStr">
        <is>
          <t>🎯 Competitor loyalist — poach target</t>
        </is>
      </c>
      <c r="L87" s="6" t="inlineStr">
        <is>
          <t>Watchlist — brief for a test slot</t>
        </is>
      </c>
      <c r="M87" s="5" t="inlineStr">
        <is>
          <t>https://www.instagram.com/__vidhisha___/</t>
        </is>
      </c>
    </row>
    <row r="88">
      <c r="A88" s="7" t="n">
        <v>74</v>
      </c>
      <c r="B88" s="7" t="inlineStr">
        <is>
          <t>@michaelkors</t>
        </is>
      </c>
      <c r="C88" s="7" t="inlineStr">
        <is>
          <t>Michael Kors</t>
        </is>
      </c>
      <c r="D88" s="7" t="n">
        <v>19000000</v>
      </c>
      <c r="E88" s="7" t="inlineStr">
        <is>
          <t>🌟 Mega Creator (1M+)</t>
        </is>
      </c>
      <c r="F88" s="7" t="inlineStr">
        <is>
          <t>KOPA Mall Pune (Lake Shore)</t>
        </is>
      </c>
      <c r="G88" s="8" t="inlineStr">
        <is>
          <t>KOPA Mall Pune (Lake Shore)</t>
        </is>
      </c>
      <c r="H88" s="7" t="n">
        <v>23</v>
      </c>
      <c r="I88" s="7" t="n">
        <v>1661302</v>
      </c>
      <c r="J88" s="7" t="n">
        <v>72230</v>
      </c>
      <c r="K88" s="8" t="inlineStr">
        <is>
          <t>✅ Lake Shore loyalist</t>
        </is>
      </c>
      <c r="L88" s="8" t="inlineStr">
        <is>
          <t>Whitelist now (Partnership Ad code) + exclusivity clause</t>
        </is>
      </c>
      <c r="M88" s="7" t="inlineStr">
        <is>
          <t>https://www.instagram.com/michaelkors/</t>
        </is>
      </c>
    </row>
    <row r="89">
      <c r="A89" s="5" t="n">
        <v>75</v>
      </c>
      <c r="B89" s="5" t="inlineStr">
        <is>
          <t>@_salonii_shah_</t>
        </is>
      </c>
      <c r="C89" s="5" t="inlineStr">
        <is>
          <t>Saloni S Shah🧿</t>
        </is>
      </c>
      <c r="D89" s="5" t="n">
        <v>104000</v>
      </c>
      <c r="E89" s="5" t="inlineStr">
        <is>
          <t>🚀 Macro Creator (100K-1M)</t>
        </is>
      </c>
      <c r="F89" s="5" t="inlineStr">
        <is>
          <t>Nexus Hyderabad Mall</t>
        </is>
      </c>
      <c r="G89" s="6" t="inlineStr">
        <is>
          <t>Nexus Hyderabad Mall</t>
        </is>
      </c>
      <c r="H89" s="5" t="n">
        <v>1</v>
      </c>
      <c r="I89" s="5" t="n">
        <v>1609808</v>
      </c>
      <c r="J89" s="5" t="n">
        <v>1609808</v>
      </c>
      <c r="K89" s="6" t="inlineStr">
        <is>
          <t>🎯 Competitor loyalist — poach target</t>
        </is>
      </c>
      <c r="L89" s="6" t="inlineStr">
        <is>
          <t>Watchlist — brief for a test slot</t>
        </is>
      </c>
      <c r="M89" s="5" t="inlineStr">
        <is>
          <t>https://www.instagram.com/_salonii_shah_/</t>
        </is>
      </c>
    </row>
    <row r="90">
      <c r="A90" s="7" t="n">
        <v>76</v>
      </c>
      <c r="B90" s="7" t="inlineStr">
        <is>
          <t>@sadhaafshankar</t>
        </is>
      </c>
      <c r="C90" s="7" t="inlineStr">
        <is>
          <t>Sadhaaf Shankar</t>
        </is>
      </c>
      <c r="D90" s="7" t="n">
        <v>359000</v>
      </c>
      <c r="E90" s="7" t="inlineStr">
        <is>
          <t>🚀 Macro Creator (100K-1M)</t>
        </is>
      </c>
      <c r="F90" s="7" t="inlineStr">
        <is>
          <t>Phoenix Avenue of Stars Pune</t>
        </is>
      </c>
      <c r="G90" s="8" t="inlineStr">
        <is>
          <t>Phoenix Avenue of Stars Pune</t>
        </is>
      </c>
      <c r="H90" s="7" t="n">
        <v>1</v>
      </c>
      <c r="I90" s="7" t="n">
        <v>1590049</v>
      </c>
      <c r="J90" s="7" t="n">
        <v>1590049</v>
      </c>
      <c r="K90" s="8" t="inlineStr">
        <is>
          <t>🎯 Competitor loyalist — poach target</t>
        </is>
      </c>
      <c r="L90" s="8" t="inlineStr">
        <is>
          <t>Watchlist — brief for a test slot</t>
        </is>
      </c>
      <c r="M90" s="7" t="inlineStr">
        <is>
          <t>https://www.instagram.com/sadhaafshankar/</t>
        </is>
      </c>
    </row>
    <row r="91">
      <c r="A91" s="5" t="n">
        <v>77</v>
      </c>
      <c r="B91" s="5" t="inlineStr">
        <is>
          <t>@splash.n.play</t>
        </is>
      </c>
      <c r="C91" s="5" t="inlineStr">
        <is>
          <t>Splash N Play</t>
        </is>
      </c>
      <c r="D91" s="5" t="n">
        <v>8274</v>
      </c>
      <c r="E91" s="5" t="inlineStr">
        <is>
          <t>🌱 Nano (&lt;10K)</t>
        </is>
      </c>
      <c r="F91" s="5" t="inlineStr">
        <is>
          <t>KOPA Mall Pune (Lake Shore)</t>
        </is>
      </c>
      <c r="G91" s="6" t="inlineStr">
        <is>
          <t>KOPA Mall Pune (Lake Shore)</t>
        </is>
      </c>
      <c r="H91" s="5" t="n">
        <v>15</v>
      </c>
      <c r="I91" s="5" t="n">
        <v>1562419</v>
      </c>
      <c r="J91" s="5" t="n">
        <v>104161</v>
      </c>
      <c r="K91" s="6" t="inlineStr">
        <is>
          <t>✅ Lake Shore loyalist</t>
        </is>
      </c>
      <c r="L91" s="6" t="inlineStr">
        <is>
          <t>Whitelist now (Partnership Ad code) + exclusivity clause</t>
        </is>
      </c>
      <c r="M91" s="5" t="inlineStr">
        <is>
          <t>https://www.instagram.com/splash.n.play/</t>
        </is>
      </c>
    </row>
    <row r="92">
      <c r="A92" s="7" t="n">
        <v>78</v>
      </c>
      <c r="B92" s="7" t="inlineStr">
        <is>
          <t>@stevemaddenindia</t>
        </is>
      </c>
      <c r="C92" s="7" t="inlineStr">
        <is>
          <t>Steve Madden India</t>
        </is>
      </c>
      <c r="D92" s="7" t="n">
        <v>111000</v>
      </c>
      <c r="E92" s="7" t="inlineStr">
        <is>
          <t>🚀 Macro Creator (100K-1M)</t>
        </is>
      </c>
      <c r="F92" s="7" t="inlineStr">
        <is>
          <t>Lake Shore Y Junction (Hyderabad)</t>
        </is>
      </c>
      <c r="G92" s="8" t="inlineStr">
        <is>
          <t>Lake Shore Y Junction (Hyderabad), KOPA Mall Pune (Lake Shore)</t>
        </is>
      </c>
      <c r="H92" s="7" t="n">
        <v>25</v>
      </c>
      <c r="I92" s="7" t="n">
        <v>1543057</v>
      </c>
      <c r="J92" s="7" t="n">
        <v>61722</v>
      </c>
      <c r="K92" s="8" t="inlineStr">
        <is>
          <t>⚠ Multi-mall mercenary (2 malls)</t>
        </is>
      </c>
      <c r="L92" s="8" t="inlineStr">
        <is>
          <t>Whitelist + first-refusal clause before rivals rebook</t>
        </is>
      </c>
      <c r="M92" s="7" t="inlineStr">
        <is>
          <t>https://www.instagram.com/stevemaddenindia/</t>
        </is>
      </c>
    </row>
    <row r="93">
      <c r="A93" s="5" t="n">
        <v>79</v>
      </c>
      <c r="B93" s="5" t="inlineStr">
        <is>
          <t>@eshaisthename</t>
        </is>
      </c>
      <c r="C93" s="5" t="inlineStr">
        <is>
          <t>Esha India | Travel &amp;amp; Lifestyle</t>
        </is>
      </c>
      <c r="D93" s="5" t="n">
        <v>151000</v>
      </c>
      <c r="E93" s="5" t="inlineStr">
        <is>
          <t>🚀 Macro Creator (100K-1M)</t>
        </is>
      </c>
      <c r="F93" s="5" t="inlineStr">
        <is>
          <t>Inorbit Mall Cyberabad</t>
        </is>
      </c>
      <c r="G93" s="6" t="inlineStr">
        <is>
          <t>Inorbit Mall Cyberabad</t>
        </is>
      </c>
      <c r="H93" s="5" t="n">
        <v>2</v>
      </c>
      <c r="I93" s="5" t="n">
        <v>1518987</v>
      </c>
      <c r="J93" s="5" t="n">
        <v>759493</v>
      </c>
      <c r="K93" s="6" t="inlineStr">
        <is>
          <t>🎯 Competitor loyalist — poach target</t>
        </is>
      </c>
      <c r="L93" s="6" t="inlineStr">
        <is>
          <t>Watchlist — brief for a test slot</t>
        </is>
      </c>
      <c r="M93" s="5" t="inlineStr">
        <is>
          <t>https://www.instagram.com/eshaisthename/</t>
        </is>
      </c>
    </row>
    <row r="94">
      <c r="A94" s="7" t="n">
        <v>80</v>
      </c>
      <c r="B94" s="7" t="inlineStr">
        <is>
          <t>@ketan.artwork</t>
        </is>
      </c>
      <c r="C94" s="7" t="inlineStr">
        <is>
          <t>Ketan Ghodke</t>
        </is>
      </c>
      <c r="D94" s="7" t="n">
        <v>2106</v>
      </c>
      <c r="E94" s="7" t="inlineStr">
        <is>
          <t>🌱 Nano (&lt;10K)</t>
        </is>
      </c>
      <c r="F94" s="7" t="inlineStr">
        <is>
          <t>Seasons Mall Pune</t>
        </is>
      </c>
      <c r="G94" s="8" t="inlineStr">
        <is>
          <t>Seasons Mall Pune</t>
        </is>
      </c>
      <c r="H94" s="7" t="n">
        <v>2</v>
      </c>
      <c r="I94" s="7" t="n">
        <v>1503501</v>
      </c>
      <c r="J94" s="7" t="n">
        <v>751750</v>
      </c>
      <c r="K94" s="8" t="inlineStr">
        <is>
          <t>🎯 Competitor loyalist — poach target</t>
        </is>
      </c>
      <c r="L94" s="8" t="inlineStr">
        <is>
          <t>Watchlist — brief for a test slot</t>
        </is>
      </c>
      <c r="M94" s="7" t="inlineStr">
        <is>
          <t>https://www.instagram.com/ketan.artwork/</t>
        </is>
      </c>
    </row>
    <row r="95">
      <c r="A95" s="5" t="n">
        <v>81</v>
      </c>
      <c r="B95" s="5" t="inlineStr">
        <is>
          <t>@pinkathonindia</t>
        </is>
      </c>
      <c r="C95" s="5" t="inlineStr">
        <is>
          <t>Pinkathon</t>
        </is>
      </c>
      <c r="D95" s="5" t="n">
        <v>25000</v>
      </c>
      <c r="E95" s="5" t="inlineStr">
        <is>
          <t>🎯 Micro (10K-50K)</t>
        </is>
      </c>
      <c r="F95" s="5" t="inlineStr">
        <is>
          <t>Phoenix Avenue of Stars Pune</t>
        </is>
      </c>
      <c r="G95" s="6" t="inlineStr">
        <is>
          <t>Phoenix Avenue of Stars Pune</t>
        </is>
      </c>
      <c r="H95" s="5" t="n">
        <v>1</v>
      </c>
      <c r="I95" s="5" t="n">
        <v>1496938</v>
      </c>
      <c r="J95" s="5" t="n">
        <v>1496938</v>
      </c>
      <c r="K95" s="6" t="inlineStr">
        <is>
          <t>🎯 Competitor loyalist — poach target</t>
        </is>
      </c>
      <c r="L95" s="6" t="inlineStr">
        <is>
          <t>Watchlist — brief for a test slot</t>
        </is>
      </c>
      <c r="M95" s="5" t="inlineStr">
        <is>
          <t>https://www.instagram.com/pinkathonindia/</t>
        </is>
      </c>
    </row>
    <row r="96">
      <c r="A96" s="7" t="n">
        <v>82</v>
      </c>
      <c r="B96" s="7" t="inlineStr">
        <is>
          <t>@darshana_bulchandani</t>
        </is>
      </c>
      <c r="C96" s="7" t="inlineStr">
        <is>
          <t>Darshana Awasthi | Mom &amp;amp; Lifestyle Creator</t>
        </is>
      </c>
      <c r="D96" s="7" t="n">
        <v>1000000</v>
      </c>
      <c r="E96" s="7" t="inlineStr">
        <is>
          <t>🌟 Mega Creator (1M+)</t>
        </is>
      </c>
      <c r="F96" s="7" t="inlineStr">
        <is>
          <t>Phoenix Avenue of Stars Pune</t>
        </is>
      </c>
      <c r="G96" s="8" t="inlineStr">
        <is>
          <t>Phoenix Avenue of Stars Pune</t>
        </is>
      </c>
      <c r="H96" s="7" t="n">
        <v>1</v>
      </c>
      <c r="I96" s="7" t="n">
        <v>1455198</v>
      </c>
      <c r="J96" s="7" t="n">
        <v>1455198</v>
      </c>
      <c r="K96" s="8" t="inlineStr">
        <is>
          <t>🎯 Competitor loyalist — poach target</t>
        </is>
      </c>
      <c r="L96" s="8" t="inlineStr">
        <is>
          <t>Watchlist — brief for a test slot</t>
        </is>
      </c>
      <c r="M96" s="7" t="inlineStr">
        <is>
          <t>https://www.instagram.com/darshana_bulchandani/</t>
        </is>
      </c>
    </row>
    <row r="97">
      <c r="A97" s="5" t="n">
        <v>83</v>
      </c>
      <c r="B97" s="5" t="inlineStr">
        <is>
          <t>@boss</t>
        </is>
      </c>
      <c r="C97" s="5" t="inlineStr">
        <is>
          <t>BOSS</t>
        </is>
      </c>
      <c r="D97" s="5" t="n">
        <v>12000000</v>
      </c>
      <c r="E97" s="5" t="inlineStr">
        <is>
          <t>🌟 Mega Creator (1M+)</t>
        </is>
      </c>
      <c r="F97" s="5" t="inlineStr">
        <is>
          <t>KOPA Mall Pune (Lake Shore)</t>
        </is>
      </c>
      <c r="G97" s="6" t="inlineStr">
        <is>
          <t>KOPA Mall Pune (Lake Shore)</t>
        </is>
      </c>
      <c r="H97" s="5" t="n">
        <v>17</v>
      </c>
      <c r="I97" s="5" t="n">
        <v>1441949</v>
      </c>
      <c r="J97" s="5" t="n">
        <v>84820</v>
      </c>
      <c r="K97" s="6" t="inlineStr">
        <is>
          <t>✅ Lake Shore loyalist</t>
        </is>
      </c>
      <c r="L97" s="6" t="inlineStr">
        <is>
          <t>Whitelist now (Partnership Ad code) + exclusivity clause</t>
        </is>
      </c>
      <c r="M97" s="5" t="inlineStr">
        <is>
          <t>https://www.instagram.com/boss/</t>
        </is>
      </c>
    </row>
    <row r="98">
      <c r="A98" s="7" t="n">
        <v>84</v>
      </c>
      <c r="B98" s="7" t="inlineStr">
        <is>
          <t>@soni_in_hyd</t>
        </is>
      </c>
      <c r="C98" s="7" t="inlineStr">
        <is>
          <t>Sonika</t>
        </is>
      </c>
      <c r="D98" s="7" t="n">
        <v>59000</v>
      </c>
      <c r="E98" s="7" t="inlineStr">
        <is>
          <t>✨ Mid-Tier (50K-100K)</t>
        </is>
      </c>
      <c r="F98" s="7" t="inlineStr">
        <is>
          <t>Inorbit Mall Cyberabad</t>
        </is>
      </c>
      <c r="G98" s="8" t="inlineStr">
        <is>
          <t>Inorbit Mall Cyberabad, Nexus Hyderabad Mall</t>
        </is>
      </c>
      <c r="H98" s="7" t="n">
        <v>4</v>
      </c>
      <c r="I98" s="7" t="n">
        <v>1340990</v>
      </c>
      <c r="J98" s="7" t="n">
        <v>335247</v>
      </c>
      <c r="K98" s="8" t="inlineStr">
        <is>
          <t>⚠ Multi-mall mercenary (2 malls)</t>
        </is>
      </c>
      <c r="L98" s="8" t="inlineStr">
        <is>
          <t>Watchlist — brief for a test slot</t>
        </is>
      </c>
      <c r="M98" s="7" t="inlineStr">
        <is>
          <t>https://www.instagram.com/soni_in_hyd/</t>
        </is>
      </c>
    </row>
    <row r="99">
      <c r="A99" s="5" t="n">
        <v>85</v>
      </c>
      <c r="B99" s="5" t="inlineStr">
        <is>
          <t>@_pavaniee_</t>
        </is>
      </c>
      <c r="C99" s="5" t="inlineStr">
        <is>
          <t>Pavani</t>
        </is>
      </c>
      <c r="D99" s="5" t="n">
        <v>12000</v>
      </c>
      <c r="E99" s="5" t="inlineStr">
        <is>
          <t>🎯 Micro (10K-50K)</t>
        </is>
      </c>
      <c r="F99" s="5" t="inlineStr">
        <is>
          <t>Lulu Mall Hyderabad</t>
        </is>
      </c>
      <c r="G99" s="6" t="inlineStr">
        <is>
          <t>Lulu Mall Hyderabad</t>
        </is>
      </c>
      <c r="H99" s="5" t="n">
        <v>1</v>
      </c>
      <c r="I99" s="5" t="n">
        <v>1314532</v>
      </c>
      <c r="J99" s="5" t="n">
        <v>1314532</v>
      </c>
      <c r="K99" s="6" t="inlineStr">
        <is>
          <t>🎯 Competitor loyalist — poach target</t>
        </is>
      </c>
      <c r="L99" s="6" t="inlineStr">
        <is>
          <t>Watchlist — brief for a test slot</t>
        </is>
      </c>
      <c r="M99" s="5" t="inlineStr">
        <is>
          <t>https://www.instagram.com/_pavaniee_/</t>
        </is>
      </c>
    </row>
    <row r="100">
      <c r="A100" s="7" t="n">
        <v>86</v>
      </c>
      <c r="B100" s="7" t="inlineStr">
        <is>
          <t>@vickychoudhary_2</t>
        </is>
      </c>
      <c r="C100" s="7" t="inlineStr">
        <is>
          <t>VIKRAM</t>
        </is>
      </c>
      <c r="D100" s="7" t="n">
        <v>20000</v>
      </c>
      <c r="E100" s="7" t="inlineStr">
        <is>
          <t>🎯 Micro (10K-50K)</t>
        </is>
      </c>
      <c r="F100" s="7" t="inlineStr">
        <is>
          <t>Inorbit Mall Cyberabad</t>
        </is>
      </c>
      <c r="G100" s="8" t="inlineStr">
        <is>
          <t>Inorbit Mall Cyberabad</t>
        </is>
      </c>
      <c r="H100" s="7" t="n">
        <v>1</v>
      </c>
      <c r="I100" s="7" t="n">
        <v>1300818</v>
      </c>
      <c r="J100" s="7" t="n">
        <v>1300818</v>
      </c>
      <c r="K100" s="8" t="inlineStr">
        <is>
          <t>🎯 Competitor loyalist — poach target</t>
        </is>
      </c>
      <c r="L100" s="8" t="inlineStr">
        <is>
          <t>Watchlist — brief for a test slot</t>
        </is>
      </c>
      <c r="M100" s="7" t="inlineStr">
        <is>
          <t>https://www.instagram.com/vickychoudhary_2/</t>
        </is>
      </c>
    </row>
    <row r="101">
      <c r="A101" s="5" t="n">
        <v>87</v>
      </c>
      <c r="B101" s="5" t="inlineStr">
        <is>
          <t>@thingstodoinhyderabad</t>
        </is>
      </c>
      <c r="C101" s="5" t="inlineStr">
        <is>
          <t>Things2do™️ | Hyderabad</t>
        </is>
      </c>
      <c r="D101" s="5" t="n">
        <v>292000</v>
      </c>
      <c r="E101" s="5" t="inlineStr">
        <is>
          <t>🚀 Macro Creator (100K-1M)</t>
        </is>
      </c>
      <c r="F101" s="5" t="inlineStr">
        <is>
          <t>Nexus Hyderabad Mall</t>
        </is>
      </c>
      <c r="G101" s="6" t="inlineStr">
        <is>
          <t>Nexus Hyderabad Mall</t>
        </is>
      </c>
      <c r="H101" s="5" t="n">
        <v>22</v>
      </c>
      <c r="I101" s="5" t="n">
        <v>1292974</v>
      </c>
      <c r="J101" s="5" t="n">
        <v>58771</v>
      </c>
      <c r="K101" s="6" t="inlineStr">
        <is>
          <t>🎯 Competitor loyalist — poach target</t>
        </is>
      </c>
      <c r="L101" s="6" t="inlineStr">
        <is>
          <t>Watchlist — brief for a test slot</t>
        </is>
      </c>
      <c r="M101" s="5" t="inlineStr">
        <is>
          <t>https://www.instagram.com/thingstodoinhyderabad/</t>
        </is>
      </c>
    </row>
    <row r="102">
      <c r="A102" s="7" t="n">
        <v>88</v>
      </c>
      <c r="B102" s="7" t="inlineStr">
        <is>
          <t>@thecrazy_explorer</t>
        </is>
      </c>
      <c r="C102" s="7" t="inlineStr">
        <is>
          <t>Sudha |Travel |Food |Lifestyle</t>
        </is>
      </c>
      <c r="D102" s="7" t="n">
        <v>68000</v>
      </c>
      <c r="E102" s="7" t="inlineStr">
        <is>
          <t>✨ Mid-Tier (50K-100K)</t>
        </is>
      </c>
      <c r="F102" s="7" t="inlineStr">
        <is>
          <t>Amanora Mall Pune</t>
        </is>
      </c>
      <c r="G102" s="8" t="inlineStr">
        <is>
          <t>Amanora Mall Pune</t>
        </is>
      </c>
      <c r="H102" s="7" t="n">
        <v>2</v>
      </c>
      <c r="I102" s="7" t="n">
        <v>1260458</v>
      </c>
      <c r="J102" s="7" t="n">
        <v>630229</v>
      </c>
      <c r="K102" s="8" t="inlineStr">
        <is>
          <t>🎯 Competitor loyalist — poach target</t>
        </is>
      </c>
      <c r="L102" s="8" t="inlineStr">
        <is>
          <t>Watchlist — brief for a test slot</t>
        </is>
      </c>
      <c r="M102" s="7" t="inlineStr">
        <is>
          <t>https://www.instagram.com/thecrazy_explorer/</t>
        </is>
      </c>
    </row>
    <row r="103">
      <c r="A103" s="5" t="n">
        <v>89</v>
      </c>
      <c r="B103" s="5" t="inlineStr">
        <is>
          <t>@bloggerite</t>
        </is>
      </c>
      <c r="C103" s="5" t="inlineStr">
        <is>
          <t>Inayath Mirza</t>
        </is>
      </c>
      <c r="D103" s="5" t="n">
        <v>351000</v>
      </c>
      <c r="E103" s="5" t="inlineStr">
        <is>
          <t>🚀 Macro Creator (100K-1M)</t>
        </is>
      </c>
      <c r="F103" s="5" t="inlineStr">
        <is>
          <t>Sarath City Capital Mall Hyderabad</t>
        </is>
      </c>
      <c r="G103" s="6" t="inlineStr">
        <is>
          <t>Sarath City Capital Mall Hyderabad</t>
        </is>
      </c>
      <c r="H103" s="5" t="n">
        <v>1</v>
      </c>
      <c r="I103" s="5" t="n">
        <v>1257388</v>
      </c>
      <c r="J103" s="5" t="n">
        <v>1257388</v>
      </c>
      <c r="K103" s="6" t="inlineStr">
        <is>
          <t>🎯 Competitor loyalist — poach target</t>
        </is>
      </c>
      <c r="L103" s="6" t="inlineStr">
        <is>
          <t>Watchlist — brief for a test slot</t>
        </is>
      </c>
      <c r="M103" s="5" t="inlineStr">
        <is>
          <t>https://www.instagram.com/bloggerite/</t>
        </is>
      </c>
    </row>
    <row r="104">
      <c r="A104" s="7" t="n">
        <v>90</v>
      </c>
      <c r="B104" s="7" t="inlineStr">
        <is>
          <t>@nikifying</t>
        </is>
      </c>
      <c r="C104" s="7" t="inlineStr">
        <is>
          <t>Nikita Dutta</t>
        </is>
      </c>
      <c r="D104" s="7" t="n">
        <v>2000000</v>
      </c>
      <c r="E104" s="7" t="inlineStr">
        <is>
          <t>🌟 Mega Creator (1M+)</t>
        </is>
      </c>
      <c r="F104" s="7" t="inlineStr">
        <is>
          <t>Phoenix Mall of the Millennium Wakad</t>
        </is>
      </c>
      <c r="G104" s="8" t="inlineStr">
        <is>
          <t>Phoenix Mall of the Millennium Wakad</t>
        </is>
      </c>
      <c r="H104" s="7" t="n">
        <v>1</v>
      </c>
      <c r="I104" s="7" t="n">
        <v>1219231</v>
      </c>
      <c r="J104" s="7" t="n">
        <v>1219231</v>
      </c>
      <c r="K104" s="8" t="inlineStr">
        <is>
          <t>🎯 Competitor loyalist — poach target</t>
        </is>
      </c>
      <c r="L104" s="8" t="inlineStr">
        <is>
          <t>Watchlist — brief for a test slot</t>
        </is>
      </c>
      <c r="M104" s="7" t="inlineStr">
        <is>
          <t>https://www.instagram.com/nikifying/</t>
        </is>
      </c>
    </row>
    <row r="106" ht="28" customHeight="1">
      <c r="A106" s="9" t="inlineStr">
        <is>
          <t>[FROM THE DATA] Every column except the last two is straight out of the 586-creator roster. [PLANNING] 'Loyalty flag' and 'Whitelisting action' are the buying rules applied on top. Note the structural finding: 535 of 586 creators are single-mall loyalists — this market has almost no creator overlap, so whoever signs exclusivity first locks the bench.</t>
        </is>
      </c>
    </row>
  </sheetData>
  <autoFilter ref="A15:M104"/>
  <mergeCells count="5">
    <mergeCell ref="A2:L2"/>
    <mergeCell ref="A106:M106"/>
    <mergeCell ref="A1:L1"/>
    <mergeCell ref="A13:L13"/>
    <mergeCell ref="A4:L4"/>
  </mergeCells>
  <pageMargins left="0.75" right="0.75" top="1" bottom="1" header="0.5" footer="0.5"/>
</worksheet>
</file>

<file path=xl/worksheets/sheet6.xml><?xml version="1.0" encoding="utf-8"?>
<worksheet xmlns="http://schemas.openxmlformats.org/spreadsheetml/2006/main">
  <sheetPr>
    <tabColor rgb="00B45309"/>
    <outlinePr summaryBelow="1" summaryRight="1"/>
    <pageSetUpPr/>
  </sheetPr>
  <dimension ref="A1:M42"/>
  <sheetViews>
    <sheetView workbookViewId="0">
      <selection activeCell="A1" sqref="A1"/>
    </sheetView>
  </sheetViews>
  <sheetFormatPr baseColWidth="8" defaultRowHeight="15"/>
  <cols>
    <col width="30" customWidth="1" min="1" max="1"/>
    <col width="10" customWidth="1" min="2" max="2"/>
    <col width="110" customWidth="1" min="3" max="3"/>
    <col width="11" customWidth="1" min="4" max="4"/>
    <col width="13" customWidth="1" min="5" max="5"/>
    <col width="11" customWidth="1" min="6" max="6"/>
    <col width="20" customWidth="1" min="7" max="7"/>
    <col width="18" customWidth="1" min="8" max="8"/>
    <col width="20" customWidth="1" min="9" max="9"/>
    <col width="18" customWidth="1" min="10" max="10"/>
    <col width="20" customWidth="1" min="11" max="11"/>
    <col width="17" customWidth="1" min="12" max="12"/>
    <col width="52" customWidth="1" min="13" max="13"/>
  </cols>
  <sheetData>
    <row r="1" ht="30" customHeight="1">
      <c r="A1" s="23" t="inlineStr">
        <is>
          <t>5 · BUDGET &amp; UNIT ECONOMICS — PACING, Cost per 1,000 impressions/Cost per Click BENCHMARKS, Cost per Directions Click &amp; Cost per Lead</t>
        </is>
      </c>
    </row>
    <row r="2" ht="20" customHeight="1">
      <c r="A2" s="2" t="inlineStr">
        <is>
          <t>Worked against a ₹12,00,000 / month combined base. Change cell B5 and the model re-reads — every rupee figure below is a live formula off it.</t>
        </is>
      </c>
    </row>
    <row r="5">
      <c r="A5" s="24" t="inlineStr">
        <is>
          <t>MONTHLY BASE BUDGET (₹) →</t>
        </is>
      </c>
      <c r="B5" s="25" t="n">
        <v>1200000</v>
      </c>
      <c r="C5" s="26" t="inlineStr">
        <is>
          <t>[PLANNING] Assumption — replace with the client's committed monthly media budget. Every split below is a % of this cell.</t>
        </is>
      </c>
    </row>
    <row r="7" ht="34" customHeight="1">
      <c r="A7" s="27" t="inlineStr">
        <is>
          <t>Campaign (Tab 1)</t>
        </is>
      </c>
      <c r="B7" s="27" t="inlineStr">
        <is>
          <t>Asset</t>
        </is>
      </c>
      <c r="C7" s="27" t="inlineStr">
        <is>
          <t>Funnel</t>
        </is>
      </c>
      <c r="D7" s="27" t="inlineStr">
        <is>
          <t>% of monthly</t>
        </is>
      </c>
      <c r="E7" s="27" t="inlineStr">
        <is>
          <t>Monthly ₹</t>
        </is>
      </c>
      <c r="F7" s="27" t="inlineStr">
        <is>
          <t>Daily ₹</t>
        </is>
      </c>
      <c r="G7" s="27" t="inlineStr">
        <is>
          <t>Benchmark Cost per 1,000 Impressions (₹) [PLANNING]</t>
        </is>
      </c>
      <c r="H7" s="27" t="inlineStr">
        <is>
          <t>Benchmark Cost per Click (₹) [PLANNING]</t>
        </is>
      </c>
      <c r="I7" s="27" t="inlineStr">
        <is>
          <t>Target Cost per Directions Click (₹)</t>
        </is>
      </c>
      <c r="J7" s="27" t="inlineStr">
        <is>
          <t>Target Cost per Lead (₹)</t>
        </is>
      </c>
      <c r="K7" s="27" t="inlineStr">
        <is>
          <t>Estimated monthly impressions</t>
        </is>
      </c>
      <c r="L7" s="27" t="inlineStr">
        <is>
          <t>Estimated directions clicks</t>
        </is>
      </c>
      <c r="M7" s="27" t="inlineStr">
        <is>
          <t>Pacing rule</t>
        </is>
      </c>
    </row>
    <row r="8">
      <c r="A8" s="28" t="inlineStr">
        <is>
          <t>LS_KOPA_META_TOF_QUIETLUXURY_KP-ANNEXE</t>
        </is>
      </c>
      <c r="B8" s="29" t="inlineStr">
        <is>
          <t>KOPA</t>
        </is>
      </c>
      <c r="C8" s="30" t="inlineStr">
        <is>
          <t>Top of Funnel (Awareness)</t>
        </is>
      </c>
      <c r="D8" s="31" t="n">
        <v>0.1</v>
      </c>
      <c r="E8" s="32">
        <f>$B$5*D8</f>
        <v/>
      </c>
      <c r="F8" s="32">
        <f>E8/30.4</f>
        <v/>
      </c>
      <c r="G8" s="29" t="n">
        <v>110</v>
      </c>
      <c r="H8" s="29" t="n">
        <v>7.5</v>
      </c>
      <c r="I8" s="29" t="n"/>
      <c r="J8" s="29" t="n"/>
      <c r="K8" s="32">
        <f>IF(G8="","",E8/G8*1000)</f>
        <v/>
      </c>
      <c r="L8" s="32">
        <f>IF(I8="","",E8/I8)</f>
        <v/>
      </c>
      <c r="M8" s="29" t="inlineStr">
        <is>
          <t>Even daily, no accelerated</t>
        </is>
      </c>
    </row>
    <row r="9">
      <c r="A9" s="28" t="inlineStr">
        <is>
          <t>LS_KOPA_META_TOF_FOODIE_PUNE-EAST</t>
        </is>
      </c>
      <c r="B9" s="29" t="inlineStr">
        <is>
          <t>KOPA</t>
        </is>
      </c>
      <c r="C9" s="30" t="inlineStr">
        <is>
          <t>Top of Funnel (Awareness)</t>
        </is>
      </c>
      <c r="D9" s="31" t="n">
        <v>0.07000000000000001</v>
      </c>
      <c r="E9" s="32">
        <f>$B$5*D9</f>
        <v/>
      </c>
      <c r="F9" s="32">
        <f>E9/30.4</f>
        <v/>
      </c>
      <c r="G9" s="29" t="n">
        <v>125</v>
      </c>
      <c r="H9" s="29" t="n">
        <v>8</v>
      </c>
      <c r="I9" s="29" t="n"/>
      <c r="J9" s="29" t="n"/>
      <c r="K9" s="32">
        <f>IF(G9="","",E9/G9*1000)</f>
        <v/>
      </c>
      <c r="L9" s="32">
        <f>IF(I9="","",E9/I9)</f>
        <v/>
      </c>
      <c r="M9" s="29" t="inlineStr">
        <is>
          <t>Even daily</t>
        </is>
      </c>
    </row>
    <row r="10">
      <c r="A10" s="28" t="inlineStr">
        <is>
          <t>LS_KOPA_META_MOF_CONQUEST_PHOENIX-AOS</t>
        </is>
      </c>
      <c r="B10" s="29" t="inlineStr">
        <is>
          <t>KOPA</t>
        </is>
      </c>
      <c r="C10" s="30" t="inlineStr">
        <is>
          <t>Middle of Funnel (Consideration)</t>
        </is>
      </c>
      <c r="D10" s="31" t="n">
        <v>0.09</v>
      </c>
      <c r="E10" s="32">
        <f>$B$5*D10</f>
        <v/>
      </c>
      <c r="F10" s="32">
        <f>E10/30.4</f>
        <v/>
      </c>
      <c r="G10" s="29" t="n">
        <v>165</v>
      </c>
      <c r="H10" s="29" t="n">
        <v>11</v>
      </c>
      <c r="I10" s="29" t="n"/>
      <c r="J10" s="29" t="n"/>
      <c r="K10" s="32">
        <f>IF(G10="","",E10/G10*1000)</f>
        <v/>
      </c>
      <c r="L10" s="32">
        <f>IF(I10="","",E10/I10)</f>
        <v/>
      </c>
      <c r="M10" s="29" t="inlineStr">
        <is>
          <t>70% of spend Fri-Sun</t>
        </is>
      </c>
    </row>
    <row r="11">
      <c r="A11" s="28" t="inlineStr">
        <is>
          <t>LS_KOPA_META_MOF_CONQUEST_AMANORA-SEASONS</t>
        </is>
      </c>
      <c r="B11" s="29" t="inlineStr">
        <is>
          <t>KOPA</t>
        </is>
      </c>
      <c r="C11" s="30" t="inlineStr">
        <is>
          <t>Middle of Funnel (Consideration)</t>
        </is>
      </c>
      <c r="D11" s="31" t="n">
        <v>0.05</v>
      </c>
      <c r="E11" s="32">
        <f>$B$5*D11</f>
        <v/>
      </c>
      <c r="F11" s="32">
        <f>E11/30.4</f>
        <v/>
      </c>
      <c r="G11" s="29" t="n">
        <v>160</v>
      </c>
      <c r="H11" s="29" t="n">
        <v>10.5</v>
      </c>
      <c r="I11" s="29" t="n"/>
      <c r="J11" s="29" t="n"/>
      <c r="K11" s="32">
        <f>IF(G11="","",E11/G11*1000)</f>
        <v/>
      </c>
      <c r="L11" s="32">
        <f>IF(I11="","",E11/I11)</f>
        <v/>
      </c>
      <c r="M11" s="29" t="inlineStr">
        <is>
          <t>70% of spend Thu-Sun</t>
        </is>
      </c>
    </row>
    <row r="12">
      <c r="A12" s="28" t="inlineStr">
        <is>
          <t>LS_KOPA_META_MOF_PARTNERSHIP_CREATORWL</t>
        </is>
      </c>
      <c r="B12" s="29" t="inlineStr">
        <is>
          <t>KOPA</t>
        </is>
      </c>
      <c r="C12" s="30" t="inlineStr">
        <is>
          <t>Middle of Funnel (Consideration)</t>
        </is>
      </c>
      <c r="D12" s="31" t="n">
        <v>0.06</v>
      </c>
      <c r="E12" s="32">
        <f>$B$5*D12</f>
        <v/>
      </c>
      <c r="F12" s="32">
        <f>E12/30.4</f>
        <v/>
      </c>
      <c r="G12" s="29" t="n">
        <v>140</v>
      </c>
      <c r="H12" s="29" t="n">
        <v>9</v>
      </c>
      <c r="I12" s="29" t="n"/>
      <c r="J12" s="29" t="n"/>
      <c r="K12" s="32">
        <f>IF(G12="","",E12/G12*1000)</f>
        <v/>
      </c>
      <c r="L12" s="32">
        <f>IF(I12="","",E12/I12)</f>
        <v/>
      </c>
      <c r="M12" s="29" t="inlineStr">
        <is>
          <t>Rotate the creator every 14 days</t>
        </is>
      </c>
    </row>
    <row r="13">
      <c r="A13" s="28" t="inlineStr">
        <is>
          <t>LS_KOPA_META_BOF_STORELOCATOR_RETARGET</t>
        </is>
      </c>
      <c r="B13" s="29" t="inlineStr">
        <is>
          <t>KOPA</t>
        </is>
      </c>
      <c r="C13" s="30" t="inlineStr">
        <is>
          <t>Bottom of Funnel (Action)</t>
        </is>
      </c>
      <c r="D13" s="31" t="n">
        <v>0.05</v>
      </c>
      <c r="E13" s="32">
        <f>$B$5*D13</f>
        <v/>
      </c>
      <c r="F13" s="32">
        <f>E13/30.4</f>
        <v/>
      </c>
      <c r="G13" s="29" t="n">
        <v>190</v>
      </c>
      <c r="H13" s="29" t="n">
        <v>13</v>
      </c>
      <c r="I13" s="29" t="n">
        <v>45</v>
      </c>
      <c r="J13" s="29" t="n"/>
      <c r="K13" s="32">
        <f>IF(G13="","",E13/G13*1000)</f>
        <v/>
      </c>
      <c r="L13" s="32">
        <f>IF(I13="","",E13/I13)</f>
        <v/>
      </c>
      <c r="M13" s="29" t="inlineStr">
        <is>
          <t>Show no more than 3 times per person per 7 days</t>
        </is>
      </c>
    </row>
    <row r="14">
      <c r="A14" s="28" t="inlineStr">
        <is>
          <t>LS_KOPA_META_BOF_VALETQR_CAPI</t>
        </is>
      </c>
      <c r="B14" s="29" t="inlineStr">
        <is>
          <t>KOPA</t>
        </is>
      </c>
      <c r="C14" s="30" t="inlineStr">
        <is>
          <t>Bottom of Funnel (Action)</t>
        </is>
      </c>
      <c r="D14" s="31" t="n">
        <v>0.04</v>
      </c>
      <c r="E14" s="32">
        <f>$B$5*D14</f>
        <v/>
      </c>
      <c r="F14" s="32">
        <f>E14/30.4</f>
        <v/>
      </c>
      <c r="G14" s="29" t="n">
        <v>205</v>
      </c>
      <c r="H14" s="29" t="n">
        <v>14</v>
      </c>
      <c r="I14" s="29" t="n"/>
      <c r="J14" s="29" t="n">
        <v>90</v>
      </c>
      <c r="K14" s="32">
        <f>IF(G14="","",E14/G14*1000)</f>
        <v/>
      </c>
      <c r="L14" s="32">
        <f>IF(I14="","",E14/I14)</f>
        <v/>
      </c>
      <c r="M14" s="29" t="inlineStr">
        <is>
          <t>Weekend-weighted</t>
        </is>
      </c>
    </row>
    <row r="15">
      <c r="A15" s="28" t="inlineStr">
        <is>
          <t>LS_KOPA_GADS_TOF_PMAX_LOCALFEED</t>
        </is>
      </c>
      <c r="B15" s="29" t="inlineStr">
        <is>
          <t>KOPA</t>
        </is>
      </c>
      <c r="C15" s="30" t="inlineStr">
        <is>
          <t>Top of Funnel (Awareness)</t>
        </is>
      </c>
      <c r="D15" s="31" t="n">
        <v>0.05</v>
      </c>
      <c r="E15" s="32">
        <f>$B$5*D15</f>
        <v/>
      </c>
      <c r="F15" s="32">
        <f>E15/30.4</f>
        <v/>
      </c>
      <c r="G15" s="29" t="n">
        <v>95</v>
      </c>
      <c r="H15" s="29" t="n">
        <v>6</v>
      </c>
      <c r="I15" s="29" t="n">
        <v>55</v>
      </c>
      <c r="J15" s="29" t="n"/>
      <c r="K15" s="32">
        <f>IF(G15="","",E15/G15*1000)</f>
        <v/>
      </c>
      <c r="L15" s="32">
        <f>IF(I15="","",E15/I15)</f>
        <v/>
      </c>
      <c r="M15" s="29" t="inlineStr">
        <is>
          <t>Always-on, no daypart</t>
        </is>
      </c>
    </row>
    <row r="16">
      <c r="A16" s="28" t="inlineStr">
        <is>
          <t>LS_KOPA_GADS_MOF_SEARCH_CONQUEST-BRAND</t>
        </is>
      </c>
      <c r="B16" s="29" t="inlineStr">
        <is>
          <t>KOPA</t>
        </is>
      </c>
      <c r="C16" s="30" t="inlineStr">
        <is>
          <t>Middle of Funnel (Consideration)</t>
        </is>
      </c>
      <c r="D16" s="31" t="n">
        <v>0.03</v>
      </c>
      <c r="E16" s="32">
        <f>$B$5*D16</f>
        <v/>
      </c>
      <c r="F16" s="32">
        <f>E16/30.4</f>
        <v/>
      </c>
      <c r="G16" s="29" t="n"/>
      <c r="H16" s="29" t="n">
        <v>12</v>
      </c>
      <c r="I16" s="29" t="n">
        <v>50</v>
      </c>
      <c r="J16" s="29" t="n"/>
      <c r="K16" s="32">
        <f>IF(G16="","",E16/G16*1000)</f>
        <v/>
      </c>
      <c r="L16" s="32">
        <f>IF(I16="","",E16/I16)</f>
        <v/>
      </c>
      <c r="M16" s="29" t="inlineStr">
        <is>
          <t>Thu-Sun bid +25%</t>
        </is>
      </c>
    </row>
    <row r="17">
      <c r="A17" s="28" t="inlineStr">
        <is>
          <t>LS_KOPA_GADS_BOF_YTSHORTS_RETARGET</t>
        </is>
      </c>
      <c r="B17" s="29" t="inlineStr">
        <is>
          <t>KOPA</t>
        </is>
      </c>
      <c r="C17" s="30" t="inlineStr">
        <is>
          <t>Bottom of Funnel (Action)</t>
        </is>
      </c>
      <c r="D17" s="31" t="n">
        <v>0.02</v>
      </c>
      <c r="E17" s="32">
        <f>$B$5*D17</f>
        <v/>
      </c>
      <c r="F17" s="32">
        <f>E17/30.4</f>
        <v/>
      </c>
      <c r="G17" s="29" t="n">
        <v>90</v>
      </c>
      <c r="H17" s="29" t="n">
        <v>5.5</v>
      </c>
      <c r="I17" s="29" t="n"/>
      <c r="J17" s="29" t="n">
        <v>75</v>
      </c>
      <c r="K17" s="32">
        <f>IF(G17="","",E17/G17*1000)</f>
        <v/>
      </c>
      <c r="L17" s="32">
        <f>IF(I17="","",E17/I17)</f>
        <v/>
      </c>
      <c r="M17" s="29" t="inlineStr">
        <is>
          <t>Weekend only</t>
        </is>
      </c>
    </row>
    <row r="18">
      <c r="A18" s="28" t="inlineStr">
        <is>
          <t>LS_YJN_META_TOF_KUKATPALLY-LAUNCHREACH</t>
        </is>
      </c>
      <c r="B18" s="29" t="inlineStr">
        <is>
          <t>YJUNCTION</t>
        </is>
      </c>
      <c r="C18" s="30" t="inlineStr">
        <is>
          <t>Top of Funnel (Awareness)</t>
        </is>
      </c>
      <c r="D18" s="31" t="n">
        <v>0.09</v>
      </c>
      <c r="E18" s="32">
        <f>$B$5*D18</f>
        <v/>
      </c>
      <c r="F18" s="32">
        <f>E18/30.4</f>
        <v/>
      </c>
      <c r="G18" s="29" t="n">
        <v>95</v>
      </c>
      <c r="H18" s="29" t="n">
        <v>6.5</v>
      </c>
      <c r="I18" s="29" t="n"/>
      <c r="J18" s="29" t="n"/>
      <c r="K18" s="32">
        <f>IF(G18="","",E18/G18*1000)</f>
        <v/>
      </c>
      <c r="L18" s="32">
        <f>IF(I18="","",E18/I18)</f>
        <v/>
      </c>
      <c r="M18" s="29" t="inlineStr">
        <is>
          <t>Even daily</t>
        </is>
      </c>
    </row>
    <row r="19">
      <c r="A19" s="28" t="inlineStr">
        <is>
          <t>LS_YJN_META_TOF_HITECCITY-COMMUTER</t>
        </is>
      </c>
      <c r="B19" s="29" t="inlineStr">
        <is>
          <t>YJUNCTION</t>
        </is>
      </c>
      <c r="C19" s="30" t="inlineStr">
        <is>
          <t>Top of Funnel (Awareness)</t>
        </is>
      </c>
      <c r="D19" s="31" t="n">
        <v>0.06</v>
      </c>
      <c r="E19" s="32">
        <f>$B$5*D19</f>
        <v/>
      </c>
      <c r="F19" s="32">
        <f>E19/30.4</f>
        <v/>
      </c>
      <c r="G19" s="29" t="n">
        <v>105</v>
      </c>
      <c r="H19" s="29" t="n">
        <v>7</v>
      </c>
      <c r="I19" s="29" t="n"/>
      <c r="J19" s="29" t="n"/>
      <c r="K19" s="32">
        <f>IF(G19="","",E19/G19*1000)</f>
        <v/>
      </c>
      <c r="L19" s="32">
        <f>IF(I19="","",E19/I19)</f>
        <v/>
      </c>
      <c r="M19" s="29" t="inlineStr">
        <is>
          <t>Weekday 18:00-22:00 only</t>
        </is>
      </c>
    </row>
    <row r="20">
      <c r="A20" s="28" t="inlineStr">
        <is>
          <t>LS_YJN_META_MOF_CONQUEST_LULU</t>
        </is>
      </c>
      <c r="B20" s="29" t="inlineStr">
        <is>
          <t>YJUNCTION</t>
        </is>
      </c>
      <c r="C20" s="30" t="inlineStr">
        <is>
          <t>Middle of Funnel (Consideration)</t>
        </is>
      </c>
      <c r="D20" s="31" t="n">
        <v>0.08</v>
      </c>
      <c r="E20" s="32">
        <f>$B$5*D20</f>
        <v/>
      </c>
      <c r="F20" s="32">
        <f>E20/30.4</f>
        <v/>
      </c>
      <c r="G20" s="29" t="n">
        <v>145</v>
      </c>
      <c r="H20" s="29" t="n">
        <v>9.5</v>
      </c>
      <c r="I20" s="29" t="n"/>
      <c r="J20" s="29" t="n"/>
      <c r="K20" s="32">
        <f>IF(G20="","",E20/G20*1000)</f>
        <v/>
      </c>
      <c r="L20" s="32">
        <f>IF(I20="","",E20/I20)</f>
        <v/>
      </c>
      <c r="M20" s="29" t="inlineStr">
        <is>
          <t>70% Thu-Sun</t>
        </is>
      </c>
    </row>
    <row r="21">
      <c r="A21" s="28" t="inlineStr">
        <is>
          <t>LS_YJN_META_MOF_CONQUEST_MANJEERA</t>
        </is>
      </c>
      <c r="B21" s="29" t="inlineStr">
        <is>
          <t>YJUNCTION</t>
        </is>
      </c>
      <c r="C21" s="30" t="inlineStr">
        <is>
          <t>Middle of Funnel (Consideration)</t>
        </is>
      </c>
      <c r="D21" s="31" t="n">
        <v>0.04</v>
      </c>
      <c r="E21" s="32">
        <f>$B$5*D21</f>
        <v/>
      </c>
      <c r="F21" s="32">
        <f>E21/30.4</f>
        <v/>
      </c>
      <c r="G21" s="29" t="n">
        <v>140</v>
      </c>
      <c r="H21" s="29" t="n">
        <v>9</v>
      </c>
      <c r="I21" s="29" t="n"/>
      <c r="J21" s="29" t="n"/>
      <c r="K21" s="32">
        <f>IF(G21="","",E21/G21*1000)</f>
        <v/>
      </c>
      <c r="L21" s="32">
        <f>IF(I21="","",E21/I21)</f>
        <v/>
      </c>
      <c r="M21" s="29" t="inlineStr">
        <is>
          <t>70% Thu-Sun</t>
        </is>
      </c>
    </row>
    <row r="22">
      <c r="A22" s="28" t="inlineStr">
        <is>
          <t>LS_YJN_META_MOF_PARTNERSHIP_CREATORWL</t>
        </is>
      </c>
      <c r="B22" s="29" t="inlineStr">
        <is>
          <t>YJUNCTION</t>
        </is>
      </c>
      <c r="C22" s="30" t="inlineStr">
        <is>
          <t>Middle of Funnel (Consideration)</t>
        </is>
      </c>
      <c r="D22" s="31" t="n">
        <v>0.05</v>
      </c>
      <c r="E22" s="32">
        <f>$B$5*D22</f>
        <v/>
      </c>
      <c r="F22" s="32">
        <f>E22/30.4</f>
        <v/>
      </c>
      <c r="G22" s="29" t="n">
        <v>130</v>
      </c>
      <c r="H22" s="29" t="n">
        <v>8.5</v>
      </c>
      <c r="I22" s="29" t="n"/>
      <c r="J22" s="29" t="n"/>
      <c r="K22" s="32">
        <f>IF(G22="","",E22/G22*1000)</f>
        <v/>
      </c>
      <c r="L22" s="32">
        <f>IF(I22="","",E22/I22)</f>
        <v/>
      </c>
      <c r="M22" s="29" t="inlineStr">
        <is>
          <t>Rotate the creator every 14 days</t>
        </is>
      </c>
    </row>
    <row r="23">
      <c r="A23" s="28" t="inlineStr">
        <is>
          <t>LS_YJN_META_BOF_STORELOCATOR_RETARGET</t>
        </is>
      </c>
      <c r="B23" s="29" t="inlineStr">
        <is>
          <t>YJUNCTION</t>
        </is>
      </c>
      <c r="C23" s="30" t="inlineStr">
        <is>
          <t>Bottom of Funnel (Action)</t>
        </is>
      </c>
      <c r="D23" s="31" t="n">
        <v>0.04</v>
      </c>
      <c r="E23" s="32">
        <f>$B$5*D23</f>
        <v/>
      </c>
      <c r="F23" s="32">
        <f>E23/30.4</f>
        <v/>
      </c>
      <c r="G23" s="29" t="n">
        <v>170</v>
      </c>
      <c r="H23" s="29" t="n">
        <v>11.5</v>
      </c>
      <c r="I23" s="29" t="n">
        <v>40</v>
      </c>
      <c r="J23" s="29" t="n"/>
      <c r="K23" s="32">
        <f>IF(G23="","",E23/G23*1000)</f>
        <v/>
      </c>
      <c r="L23" s="32">
        <f>IF(I23="","",E23/I23)</f>
        <v/>
      </c>
      <c r="M23" s="29" t="inlineStr">
        <is>
          <t>Show no more than 3 times per person per 7 days</t>
        </is>
      </c>
    </row>
    <row r="24">
      <c r="A24" s="28" t="inlineStr">
        <is>
          <t>LS_YJN_META_BOF_DINEDEAL_CAPI</t>
        </is>
      </c>
      <c r="B24" s="29" t="inlineStr">
        <is>
          <t>YJUNCTION</t>
        </is>
      </c>
      <c r="C24" s="30" t="inlineStr">
        <is>
          <t>Bottom of Funnel (Action)</t>
        </is>
      </c>
      <c r="D24" s="31" t="n">
        <v>0.03</v>
      </c>
      <c r="E24" s="32">
        <f>$B$5*D24</f>
        <v/>
      </c>
      <c r="F24" s="32">
        <f>E24/30.4</f>
        <v/>
      </c>
      <c r="G24" s="29" t="n">
        <v>185</v>
      </c>
      <c r="H24" s="29" t="n">
        <v>12.5</v>
      </c>
      <c r="I24" s="29" t="n"/>
      <c r="J24" s="29" t="n">
        <v>80</v>
      </c>
      <c r="K24" s="32">
        <f>IF(G24="","",E24/G24*1000)</f>
        <v/>
      </c>
      <c r="L24" s="32">
        <f>IF(I24="","",E24/I24)</f>
        <v/>
      </c>
      <c r="M24" s="29" t="inlineStr">
        <is>
          <t>Thu-Sun weighted</t>
        </is>
      </c>
    </row>
    <row r="25">
      <c r="A25" s="28" t="inlineStr">
        <is>
          <t>LS_YJN_GADS_TOF_PMAX_LOCALFEED</t>
        </is>
      </c>
      <c r="B25" s="29" t="inlineStr">
        <is>
          <t>YJUNCTION</t>
        </is>
      </c>
      <c r="C25" s="30" t="inlineStr">
        <is>
          <t>Top of Funnel (Awareness)</t>
        </is>
      </c>
      <c r="D25" s="31" t="n">
        <v>0.04</v>
      </c>
      <c r="E25" s="32">
        <f>$B$5*D25</f>
        <v/>
      </c>
      <c r="F25" s="32">
        <f>E25/30.4</f>
        <v/>
      </c>
      <c r="G25" s="29" t="n">
        <v>85</v>
      </c>
      <c r="H25" s="29" t="n">
        <v>5.5</v>
      </c>
      <c r="I25" s="29" t="n">
        <v>50</v>
      </c>
      <c r="J25" s="29" t="n"/>
      <c r="K25" s="32">
        <f>IF(G25="","",E25/G25*1000)</f>
        <v/>
      </c>
      <c r="L25" s="32">
        <f>IF(I25="","",E25/I25)</f>
        <v/>
      </c>
      <c r="M25" s="29" t="inlineStr">
        <is>
          <t>Always-on</t>
        </is>
      </c>
    </row>
    <row r="26">
      <c r="A26" s="28" t="inlineStr">
        <is>
          <t>LS_YJN_GADS_MOF_SEARCH_CONQUEST-BRAND</t>
        </is>
      </c>
      <c r="B26" s="29" t="inlineStr">
        <is>
          <t>YJUNCTION</t>
        </is>
      </c>
      <c r="C26" s="30" t="inlineStr">
        <is>
          <t>Middle of Funnel (Consideration)</t>
        </is>
      </c>
      <c r="D26" s="31" t="n">
        <v>0.02</v>
      </c>
      <c r="E26" s="32">
        <f>$B$5*D26</f>
        <v/>
      </c>
      <c r="F26" s="32">
        <f>E26/30.4</f>
        <v/>
      </c>
      <c r="G26" s="29" t="n"/>
      <c r="H26" s="29" t="n">
        <v>10</v>
      </c>
      <c r="I26" s="29" t="n">
        <v>45</v>
      </c>
      <c r="J26" s="29" t="n"/>
      <c r="K26" s="32">
        <f>IF(G26="","",E26/G26*1000)</f>
        <v/>
      </c>
      <c r="L26" s="32">
        <f>IF(I26="","",E26/I26)</f>
        <v/>
      </c>
      <c r="M26" s="29" t="inlineStr">
        <is>
          <t>Thu-Sun bid +25%</t>
        </is>
      </c>
    </row>
    <row r="27">
      <c r="A27" s="28" t="inlineStr">
        <is>
          <t>LS_YJN_GADS_BOF_YTSHORTS_RETARGET</t>
        </is>
      </c>
      <c r="B27" s="29" t="inlineStr">
        <is>
          <t>YJUNCTION</t>
        </is>
      </c>
      <c r="C27" s="30" t="inlineStr">
        <is>
          <t>Bottom of Funnel (Action)</t>
        </is>
      </c>
      <c r="D27" s="31" t="n">
        <v>0.02</v>
      </c>
      <c r="E27" s="32">
        <f>$B$5*D27</f>
        <v/>
      </c>
      <c r="F27" s="32">
        <f>E27/30.4</f>
        <v/>
      </c>
      <c r="G27" s="29" t="n">
        <v>80</v>
      </c>
      <c r="H27" s="29" t="n">
        <v>5</v>
      </c>
      <c r="I27" s="29" t="n"/>
      <c r="J27" s="29" t="n">
        <v>70</v>
      </c>
      <c r="K27" s="32">
        <f>IF(G27="","",E27/G27*1000)</f>
        <v/>
      </c>
      <c r="L27" s="32">
        <f>IF(I27="","",E27/I27)</f>
        <v/>
      </c>
      <c r="M27" s="29" t="inlineStr">
        <is>
          <t>Weekend only</t>
        </is>
      </c>
    </row>
    <row r="28">
      <c r="A28" s="28" t="inlineStr">
        <is>
          <t>LS_BOTH_META_AON_TENANTCOOP_1TO1</t>
        </is>
      </c>
      <c r="B28" s="29" t="inlineStr">
        <is>
          <t>BOTH</t>
        </is>
      </c>
      <c r="C28" s="30" t="inlineStr">
        <is>
          <t>Always On</t>
        </is>
      </c>
      <c r="D28" s="31" t="n">
        <v>0.04</v>
      </c>
      <c r="E28" s="32">
        <f>$B$5*D28</f>
        <v/>
      </c>
      <c r="F28" s="32">
        <f>E28/30.4</f>
        <v/>
      </c>
      <c r="G28" s="29" t="n">
        <v>130</v>
      </c>
      <c r="H28" s="29" t="n">
        <v>8.5</v>
      </c>
      <c r="I28" s="29" t="n"/>
      <c r="J28" s="29" t="n"/>
      <c r="K28" s="32">
        <f>IF(G28="","",E28/G28*1000)</f>
        <v/>
      </c>
      <c r="L28" s="32">
        <f>IF(I28="","",E28/I28)</f>
        <v/>
      </c>
      <c r="M28" s="29" t="inlineStr">
        <is>
          <t>Tenant matches ₹1:₹1 — effective reach 2x (Tab 9)</t>
        </is>
      </c>
    </row>
    <row r="29">
      <c r="A29" s="28" t="inlineStr">
        <is>
          <t>LS_BOTH_META_TEST_HOOKLAB_0-3S</t>
        </is>
      </c>
      <c r="B29" s="29" t="inlineStr">
        <is>
          <t>BOTH</t>
        </is>
      </c>
      <c r="C29" s="30" t="inlineStr">
        <is>
          <t>TEST</t>
        </is>
      </c>
      <c r="D29" s="31" t="n">
        <v>0.03</v>
      </c>
      <c r="E29" s="32">
        <f>$B$5*D29</f>
        <v/>
      </c>
      <c r="F29" s="32">
        <f>E29/30.4</f>
        <v/>
      </c>
      <c r="G29" s="29" t="n">
        <v>120</v>
      </c>
      <c r="H29" s="29" t="n"/>
      <c r="I29" s="29" t="n"/>
      <c r="J29" s="29" t="n"/>
      <c r="K29" s="32">
        <f>IF(G29="","",E29/G29*1000)</f>
        <v/>
      </c>
      <c r="L29" s="32">
        <f>IF(I29="","",E29/I29)</f>
        <v/>
      </c>
      <c r="M29" s="29" t="inlineStr">
        <is>
          <t>₹ capped, 14-day test cells, stop the cell if cost per 1,000 impressions runs 30% above the control</t>
        </is>
      </c>
    </row>
    <row r="30">
      <c r="A30" s="33" t="inlineStr">
        <is>
          <t>TOTAL</t>
        </is>
      </c>
      <c r="B30" s="33" t="n"/>
      <c r="C30" s="33" t="n"/>
      <c r="D30" s="34">
        <f>SUM(D8:D29)</f>
        <v/>
      </c>
      <c r="E30" s="35">
        <f>SUM(E8:E29)</f>
        <v/>
      </c>
      <c r="F30" s="35">
        <f>SUM(F8:F29)</f>
        <v/>
      </c>
      <c r="G30" s="33" t="n"/>
      <c r="H30" s="33" t="n"/>
      <c r="I30" s="33" t="n"/>
      <c r="J30" s="33" t="n"/>
      <c r="K30" s="35">
        <f>SUM(K8:K29)</f>
        <v/>
      </c>
      <c r="L30" s="35">
        <f>SUM(L8:L29)</f>
        <v/>
      </c>
      <c r="M30" s="33" t="n"/>
    </row>
    <row r="32" ht="22" customHeight="1">
      <c r="A32" s="36" t="inlineStr">
        <is>
          <t>SPLIT LOGIC — WHY THE MONEY SITS WHERE IT SITS</t>
        </is>
      </c>
    </row>
    <row r="33" ht="34" customHeight="1">
      <c r="A33" s="27" t="inlineStr">
        <is>
          <t>Split</t>
        </is>
      </c>
      <c r="B33" s="27" t="inlineStr">
        <is>
          <t>Share</t>
        </is>
      </c>
      <c r="C33" s="27" t="inlineStr">
        <is>
          <t>Reasoning grounded in the data</t>
        </is>
      </c>
    </row>
    <row r="34">
      <c r="A34" s="5" t="inlineStr">
        <is>
          <t>KOPA Mall Pune</t>
        </is>
      </c>
      <c r="B34" s="5" t="inlineStr">
        <is>
          <t>51%</t>
        </is>
      </c>
      <c r="C34" s="6" t="inlineStr">
        <is>
          <t>KOPA has 2,365 reviews and 330 owned posts vs Y Junction's 135 — the Pune asset already has audience mass to amplify, so it carries the heavier always-on load.</t>
        </is>
      </c>
    </row>
    <row r="35">
      <c r="A35" s="7" t="inlineStr">
        <is>
          <t>Lake Shore Y Junction</t>
        </is>
      </c>
      <c r="B35" s="7" t="inlineStr">
        <is>
          <t>45%</t>
        </is>
      </c>
      <c r="C35" s="8" t="inlineStr">
        <is>
          <t>Under-published (135 posts/yr vs 408 for every Hyderabad rival) but averaging 746,928 views per owned post — the highest owned-post average of any client asset. Money here buys frequency, not discovery.</t>
        </is>
      </c>
    </row>
    <row r="36">
      <c r="A36" s="5" t="inlineStr">
        <is>
          <t>Shared / co-op / test</t>
        </is>
      </c>
      <c r="B36" s="5" t="inlineStr">
        <is>
          <t>4%</t>
        </is>
      </c>
      <c r="C36" s="6" t="inlineStr">
        <is>
          <t>Funds the ₹1:₹1 tenant co-op and the hook lab.</t>
        </is>
      </c>
    </row>
    <row r="37">
      <c r="A37" s="7" t="inlineStr">
        <is>
          <t>Top of Funnel (Awareness)</t>
        </is>
      </c>
      <c r="B37" s="7" t="inlineStr">
        <is>
          <t>41%</t>
        </is>
      </c>
      <c r="C37" s="8" t="inlineStr">
        <is>
          <t>Both assets are reach-starved: zero boosted posts detected on either handle in 12 months while Phoenix Millennium ran 153 and Nexus 93.</t>
        </is>
      </c>
    </row>
    <row r="38">
      <c r="A38" s="5" t="inlineStr">
        <is>
          <t>Middle of Funnel (Consideration) (incl. conquest)</t>
        </is>
      </c>
      <c r="B38" s="5" t="inlineStr">
        <is>
          <t>37%</t>
        </is>
      </c>
      <c r="C38" s="6" t="inlineStr">
        <is>
          <t>Conquest is where the friction data pays — Lulu at 9.61% 1-star and 2-star and Manjeera at a 3.97 rating are the two softest catchments in the set.</t>
        </is>
      </c>
    </row>
    <row r="39">
      <c r="A39" s="7" t="inlineStr">
        <is>
          <t>Bottom of Funnel (Action)</t>
        </is>
      </c>
      <c r="B39" s="7" t="inlineStr">
        <is>
          <t>18%</t>
        </is>
      </c>
      <c r="C39" s="8" t="inlineStr">
        <is>
          <t>Direction clicks and valet and reservation conversion events are the only measurable footfall proxies; keep the pool tight and the frequency capped.</t>
        </is>
      </c>
    </row>
    <row r="40">
      <c r="A40" s="5" t="inlineStr">
        <is>
          <t>Hook lab</t>
        </is>
      </c>
      <c r="B40" s="5" t="inlineStr">
        <is>
          <t>3%</t>
        </is>
      </c>
      <c r="C40" s="6" t="inlineStr">
        <is>
          <t>91% of 425 scraped competitor ads share one Call to Action. Creative variance is cheaper than bid inflation.</t>
        </is>
      </c>
    </row>
    <row r="42" ht="28" customHeight="1">
      <c r="A42" s="9" t="inlineStr">
        <is>
          <t>[PLANNING] Cost per 1,000 impressions / Cost per Click / Cost per Directions Click / Cost per Lead columns are planning benchmarks for India metro mall-retail social &amp; search, not measured account data. Replace them with your own 30-day Ads Manager actuals in week one — columns K and L will recalculate automatically. [FROM THE DATA] The Reasoning column is entirely computed from the five scraped datasets.</t>
        </is>
      </c>
    </row>
  </sheetData>
  <mergeCells count="4">
    <mergeCell ref="A32:M32"/>
    <mergeCell ref="A2:L2"/>
    <mergeCell ref="A1:L1"/>
    <mergeCell ref="A42:M42"/>
  </mergeCells>
  <pageMargins left="0.75" right="0.75" top="1" bottom="1" header="0.5" footer="0.5"/>
</worksheet>
</file>

<file path=xl/worksheets/sheet7.xml><?xml version="1.0" encoding="utf-8"?>
<worksheet xmlns="http://schemas.openxmlformats.org/spreadsheetml/2006/main">
  <sheetPr>
    <tabColor rgb="00334155"/>
    <outlinePr summaryBelow="1" summaryRight="1"/>
    <pageSetUpPr/>
  </sheetPr>
  <dimension ref="A1:L45"/>
  <sheetViews>
    <sheetView workbookViewId="0">
      <selection activeCell="A1" sqref="A1"/>
    </sheetView>
  </sheetViews>
  <sheetFormatPr baseColWidth="8" defaultRowHeight="15"/>
  <cols>
    <col width="5" customWidth="1" min="1" max="1"/>
    <col width="104" customWidth="1" min="2" max="2"/>
    <col width="20" customWidth="1" min="3" max="3"/>
    <col width="20" customWidth="1" min="4" max="4"/>
    <col width="36" customWidth="1" min="5" max="5"/>
    <col width="96" customWidth="1" min="6" max="6"/>
  </cols>
  <sheetData>
    <row r="1" ht="30" customHeight="1">
      <c r="A1" s="37" t="inlineStr">
        <is>
          <t>6 · URL TRACKING TAGS AND ATTRIBUTION GOVERNANCE — TAGGING, OFFLINE CONVERSION TRACKING, VALET QR CODES AND WI-FI LOGINS</t>
        </is>
      </c>
    </row>
    <row r="2" ht="20" customHeight="1">
      <c r="A2" s="2" t="inlineStr">
        <is>
          <t>One naming law: lowercase, underscore-delimited, no spaces, campaign naming mirrors Tab 1 exactly so Ads Manager and Google Analytics 4 reconcile without a lookup table.</t>
        </is>
      </c>
    </row>
    <row r="4" ht="34" customHeight="1">
      <c r="A4" s="38" t="inlineStr">
        <is>
          <t>Campaign (Tab 1)</t>
        </is>
      </c>
      <c r="B4" s="38" t="inlineStr">
        <is>
          <t>utm_source</t>
        </is>
      </c>
      <c r="C4" s="38" t="inlineStr">
        <is>
          <t>utm_medium</t>
        </is>
      </c>
      <c r="D4" s="38" t="inlineStr">
        <is>
          <t>utm_campaign</t>
        </is>
      </c>
      <c r="E4" s="38" t="inlineStr">
        <is>
          <t>utm_content</t>
        </is>
      </c>
      <c r="F4" s="38" t="inlineStr">
        <is>
          <t>Full tagged website link (paste-ready)</t>
        </is>
      </c>
    </row>
    <row r="5">
      <c r="A5" s="5" t="inlineStr">
        <is>
          <t>LS_KOPA_META_TOF_QUIETLUXURY_KP-ANNEXE</t>
        </is>
      </c>
      <c r="B5" s="5" t="inlineStr">
        <is>
          <t>facebook</t>
        </is>
      </c>
      <c r="C5" s="5" t="inlineStr">
        <is>
          <t>paid_social</t>
        </is>
      </c>
      <c r="D5" s="11" t="inlineStr">
        <is>
          <t>ls_kopa_meta_tof_quietluxury_kp-annexe</t>
        </is>
      </c>
      <c r="E5" s="5" t="inlineStr">
        <is>
          <t>{{ad.name}}</t>
        </is>
      </c>
      <c r="F5" s="39" t="inlineStr">
        <is>
          <t>https://lakeshoreindia.com/kopa/?utm_source=facebook&amp;utm_medium=paid_social&amp;utm_campaign=ls_kopa_meta_tof_quietluxury_kp-annexe&amp;utm_content={{ad.name}}&amp;utm_term={{adset.name}}&amp;utm_id={{campaign.id}}</t>
        </is>
      </c>
    </row>
    <row r="6">
      <c r="A6" s="7" t="inlineStr">
        <is>
          <t>LS_KOPA_META_TOF_FOODIE_PUNE-EAST</t>
        </is>
      </c>
      <c r="B6" s="7" t="inlineStr">
        <is>
          <t>facebook</t>
        </is>
      </c>
      <c r="C6" s="7" t="inlineStr">
        <is>
          <t>paid_social</t>
        </is>
      </c>
      <c r="D6" s="12" t="inlineStr">
        <is>
          <t>ls_kopa_meta_tof_foodie_pune-east</t>
        </is>
      </c>
      <c r="E6" s="7" t="inlineStr">
        <is>
          <t>{{ad.name}}</t>
        </is>
      </c>
      <c r="F6" s="40" t="inlineStr">
        <is>
          <t>https://lakeshoreindia.com/kopa/?utm_source=facebook&amp;utm_medium=paid_social&amp;utm_campaign=ls_kopa_meta_tof_foodie_pune-east&amp;utm_content={{ad.name}}&amp;utm_term={{adset.name}}&amp;utm_id={{campaign.id}}</t>
        </is>
      </c>
    </row>
    <row r="7">
      <c r="A7" s="5" t="inlineStr">
        <is>
          <t>LS_KOPA_META_MOF_CONQUEST_PHOENIX-AOS</t>
        </is>
      </c>
      <c r="B7" s="5" t="inlineStr">
        <is>
          <t>facebook</t>
        </is>
      </c>
      <c r="C7" s="5" t="inlineStr">
        <is>
          <t>paid_social</t>
        </is>
      </c>
      <c r="D7" s="11" t="inlineStr">
        <is>
          <t>ls_kopa_meta_mof_conquest_phoenix-aos</t>
        </is>
      </c>
      <c r="E7" s="5" t="inlineStr">
        <is>
          <t>{{ad.name}}</t>
        </is>
      </c>
      <c r="F7" s="39" t="inlineStr">
        <is>
          <t>https://lakeshoreindia.com/kopa/?utm_source=facebook&amp;utm_medium=paid_social&amp;utm_campaign=ls_kopa_meta_mof_conquest_phoenix-aos&amp;utm_content={{ad.name}}&amp;utm_term={{adset.name}}&amp;utm_id={{campaign.id}}</t>
        </is>
      </c>
    </row>
    <row r="8">
      <c r="A8" s="7" t="inlineStr">
        <is>
          <t>LS_KOPA_META_MOF_CONQUEST_AMANORA-SEASONS</t>
        </is>
      </c>
      <c r="B8" s="7" t="inlineStr">
        <is>
          <t>facebook</t>
        </is>
      </c>
      <c r="C8" s="7" t="inlineStr">
        <is>
          <t>paid_social</t>
        </is>
      </c>
      <c r="D8" s="12" t="inlineStr">
        <is>
          <t>ls_kopa_meta_mof_conquest_amanora-seasons</t>
        </is>
      </c>
      <c r="E8" s="7" t="inlineStr">
        <is>
          <t>{{ad.name}}</t>
        </is>
      </c>
      <c r="F8" s="40" t="inlineStr">
        <is>
          <t>https://lakeshoreindia.com/kopa/?utm_source=facebook&amp;utm_medium=paid_social&amp;utm_campaign=ls_kopa_meta_mof_conquest_amanora-seasons&amp;utm_content={{ad.name}}&amp;utm_term={{adset.name}}&amp;utm_id={{campaign.id}}</t>
        </is>
      </c>
    </row>
    <row r="9">
      <c r="A9" s="5" t="inlineStr">
        <is>
          <t>LS_KOPA_META_MOF_PARTNERSHIP_CREATORWL</t>
        </is>
      </c>
      <c r="B9" s="5" t="inlineStr">
        <is>
          <t>facebook</t>
        </is>
      </c>
      <c r="C9" s="5" t="inlineStr">
        <is>
          <t>paid_social</t>
        </is>
      </c>
      <c r="D9" s="11" t="inlineStr">
        <is>
          <t>ls_kopa_meta_mof_partnership_creatorwl</t>
        </is>
      </c>
      <c r="E9" s="5" t="inlineStr">
        <is>
          <t>{{ad.name}}</t>
        </is>
      </c>
      <c r="F9" s="39" t="inlineStr">
        <is>
          <t>https://lakeshoreindia.com/kopa/?utm_source=facebook&amp;utm_medium=paid_social&amp;utm_campaign=ls_kopa_meta_mof_partnership_creatorwl&amp;utm_content={{ad.name}}&amp;utm_term={{adset.name}}&amp;utm_id={{campaign.id}}</t>
        </is>
      </c>
    </row>
    <row r="10">
      <c r="A10" s="7" t="inlineStr">
        <is>
          <t>LS_KOPA_META_BOF_STORELOCATOR_RETARGET</t>
        </is>
      </c>
      <c r="B10" s="7" t="inlineStr">
        <is>
          <t>facebook</t>
        </is>
      </c>
      <c r="C10" s="7" t="inlineStr">
        <is>
          <t>paid_social</t>
        </is>
      </c>
      <c r="D10" s="12" t="inlineStr">
        <is>
          <t>ls_kopa_meta_bof_storelocator_retarget</t>
        </is>
      </c>
      <c r="E10" s="7" t="inlineStr">
        <is>
          <t>{{ad.name}}</t>
        </is>
      </c>
      <c r="F10" s="40" t="inlineStr">
        <is>
          <t>https://lakeshoreindia.com/kopa/?utm_source=facebook&amp;utm_medium=paid_social&amp;utm_campaign=ls_kopa_meta_bof_storelocator_retarget&amp;utm_content={{ad.name}}&amp;utm_term={{adset.name}}&amp;utm_id={{campaign.id}}</t>
        </is>
      </c>
    </row>
    <row r="11">
      <c r="A11" s="5" t="inlineStr">
        <is>
          <t>LS_KOPA_META_BOF_VALETQR_CAPI</t>
        </is>
      </c>
      <c r="B11" s="5" t="inlineStr">
        <is>
          <t>facebook</t>
        </is>
      </c>
      <c r="C11" s="5" t="inlineStr">
        <is>
          <t>paid_social</t>
        </is>
      </c>
      <c r="D11" s="11" t="inlineStr">
        <is>
          <t>ls_kopa_meta_bof_valetqr_capi</t>
        </is>
      </c>
      <c r="E11" s="5" t="inlineStr">
        <is>
          <t>{{ad.name}}</t>
        </is>
      </c>
      <c r="F11" s="39" t="inlineStr">
        <is>
          <t>https://lakeshoreindia.com/kopa/?utm_source=facebook&amp;utm_medium=paid_social&amp;utm_campaign=ls_kopa_meta_bof_valetqr_capi&amp;utm_content={{ad.name}}&amp;utm_term={{adset.name}}&amp;utm_id={{campaign.id}}</t>
        </is>
      </c>
    </row>
    <row r="12">
      <c r="A12" s="7" t="inlineStr">
        <is>
          <t>LS_KOPA_GADS_TOF_PMAX_LOCALFEED</t>
        </is>
      </c>
      <c r="B12" s="7" t="inlineStr">
        <is>
          <t>google</t>
        </is>
      </c>
      <c r="C12" s="7" t="inlineStr">
        <is>
          <t>paid_search</t>
        </is>
      </c>
      <c r="D12" s="12" t="inlineStr">
        <is>
          <t>ls_kopa_gads_tof_pmax_localfeed</t>
        </is>
      </c>
      <c r="E12" s="7" t="inlineStr">
        <is>
          <t>{{ad.name}}</t>
        </is>
      </c>
      <c r="F12" s="40" t="inlineStr">
        <is>
          <t>https://lakeshoreindia.com/kopa/?utm_source=google&amp;utm_medium=paid_search&amp;utm_campaign=ls_kopa_gads_tof_pmax_localfeed&amp;utm_content={{ad.name}}&amp;utm_term={{adset.name}}&amp;utm_id={{campaign.id}}</t>
        </is>
      </c>
    </row>
    <row r="13">
      <c r="A13" s="5" t="inlineStr">
        <is>
          <t>LS_KOPA_GADS_MOF_SEARCH_CONQUEST-BRAND</t>
        </is>
      </c>
      <c r="B13" s="5" t="inlineStr">
        <is>
          <t>google</t>
        </is>
      </c>
      <c r="C13" s="5" t="inlineStr">
        <is>
          <t>paid_search</t>
        </is>
      </c>
      <c r="D13" s="11" t="inlineStr">
        <is>
          <t>ls_kopa_gads_mof_search_conquest-brand</t>
        </is>
      </c>
      <c r="E13" s="5" t="inlineStr">
        <is>
          <t>{{ad.name}}</t>
        </is>
      </c>
      <c r="F13" s="39" t="inlineStr">
        <is>
          <t>https://lakeshoreindia.com/kopa/?utm_source=google&amp;utm_medium=paid_search&amp;utm_campaign=ls_kopa_gads_mof_search_conquest-brand&amp;utm_content={{ad.name}}&amp;utm_term={{adset.name}}&amp;utm_id={{campaign.id}}</t>
        </is>
      </c>
    </row>
    <row r="14">
      <c r="A14" s="7" t="inlineStr">
        <is>
          <t>LS_KOPA_GADS_BOF_YTSHORTS_RETARGET</t>
        </is>
      </c>
      <c r="B14" s="7" t="inlineStr">
        <is>
          <t>google</t>
        </is>
      </c>
      <c r="C14" s="7" t="inlineStr">
        <is>
          <t>paid_search</t>
        </is>
      </c>
      <c r="D14" s="12" t="inlineStr">
        <is>
          <t>ls_kopa_gads_bof_ytshorts_retarget</t>
        </is>
      </c>
      <c r="E14" s="7" t="inlineStr">
        <is>
          <t>{{ad.name}}</t>
        </is>
      </c>
      <c r="F14" s="40" t="inlineStr">
        <is>
          <t>https://lakeshoreindia.com/kopa/?utm_source=google&amp;utm_medium=paid_search&amp;utm_campaign=ls_kopa_gads_bof_ytshorts_retarget&amp;utm_content={{ad.name}}&amp;utm_term={{adset.name}}&amp;utm_id={{campaign.id}}</t>
        </is>
      </c>
    </row>
    <row r="15">
      <c r="A15" s="5" t="inlineStr">
        <is>
          <t>LS_YJN_META_TOF_KUKATPALLY-LAUNCHREACH</t>
        </is>
      </c>
      <c r="B15" s="5" t="inlineStr">
        <is>
          <t>facebook</t>
        </is>
      </c>
      <c r="C15" s="5" t="inlineStr">
        <is>
          <t>paid_social</t>
        </is>
      </c>
      <c r="D15" s="11" t="inlineStr">
        <is>
          <t>ls_yjn_meta_tof_kukatpally-launchreach</t>
        </is>
      </c>
      <c r="E15" s="5" t="inlineStr">
        <is>
          <t>{{ad.name}}</t>
        </is>
      </c>
      <c r="F15" s="39" t="inlineStr">
        <is>
          <t>https://lakeshoreindia.com/yjunction/?utm_source=facebook&amp;utm_medium=paid_social&amp;utm_campaign=ls_yjn_meta_tof_kukatpally-launchreach&amp;utm_content={{ad.name}}&amp;utm_term={{adset.name}}&amp;utm_id={{campaign.id}}</t>
        </is>
      </c>
    </row>
    <row r="16">
      <c r="A16" s="7" t="inlineStr">
        <is>
          <t>LS_YJN_META_TOF_HITECCITY-COMMUTER</t>
        </is>
      </c>
      <c r="B16" s="7" t="inlineStr">
        <is>
          <t>facebook</t>
        </is>
      </c>
      <c r="C16" s="7" t="inlineStr">
        <is>
          <t>paid_social</t>
        </is>
      </c>
      <c r="D16" s="12" t="inlineStr">
        <is>
          <t>ls_yjn_meta_tof_hiteccity-commuter</t>
        </is>
      </c>
      <c r="E16" s="7" t="inlineStr">
        <is>
          <t>{{ad.name}}</t>
        </is>
      </c>
      <c r="F16" s="40" t="inlineStr">
        <is>
          <t>https://lakeshoreindia.com/yjunction/?utm_source=facebook&amp;utm_medium=paid_social&amp;utm_campaign=ls_yjn_meta_tof_hiteccity-commuter&amp;utm_content={{ad.name}}&amp;utm_term={{adset.name}}&amp;utm_id={{campaign.id}}</t>
        </is>
      </c>
    </row>
    <row r="17">
      <c r="A17" s="5" t="inlineStr">
        <is>
          <t>LS_YJN_META_MOF_CONQUEST_LULU</t>
        </is>
      </c>
      <c r="B17" s="5" t="inlineStr">
        <is>
          <t>facebook</t>
        </is>
      </c>
      <c r="C17" s="5" t="inlineStr">
        <is>
          <t>paid_social</t>
        </is>
      </c>
      <c r="D17" s="11" t="inlineStr">
        <is>
          <t>ls_yjn_meta_mof_conquest_lulu</t>
        </is>
      </c>
      <c r="E17" s="5" t="inlineStr">
        <is>
          <t>{{ad.name}}</t>
        </is>
      </c>
      <c r="F17" s="39" t="inlineStr">
        <is>
          <t>https://lakeshoreindia.com/yjunction/?utm_source=facebook&amp;utm_medium=paid_social&amp;utm_campaign=ls_yjn_meta_mof_conquest_lulu&amp;utm_content={{ad.name}}&amp;utm_term={{adset.name}}&amp;utm_id={{campaign.id}}</t>
        </is>
      </c>
    </row>
    <row r="18">
      <c r="A18" s="7" t="inlineStr">
        <is>
          <t>LS_YJN_META_MOF_CONQUEST_MANJEERA</t>
        </is>
      </c>
      <c r="B18" s="7" t="inlineStr">
        <is>
          <t>facebook</t>
        </is>
      </c>
      <c r="C18" s="7" t="inlineStr">
        <is>
          <t>paid_social</t>
        </is>
      </c>
      <c r="D18" s="12" t="inlineStr">
        <is>
          <t>ls_yjn_meta_mof_conquest_manjeera</t>
        </is>
      </c>
      <c r="E18" s="7" t="inlineStr">
        <is>
          <t>{{ad.name}}</t>
        </is>
      </c>
      <c r="F18" s="40" t="inlineStr">
        <is>
          <t>https://lakeshoreindia.com/yjunction/?utm_source=facebook&amp;utm_medium=paid_social&amp;utm_campaign=ls_yjn_meta_mof_conquest_manjeera&amp;utm_content={{ad.name}}&amp;utm_term={{adset.name}}&amp;utm_id={{campaign.id}}</t>
        </is>
      </c>
    </row>
    <row r="19">
      <c r="A19" s="5" t="inlineStr">
        <is>
          <t>LS_YJN_META_MOF_PARTNERSHIP_CREATORWL</t>
        </is>
      </c>
      <c r="B19" s="5" t="inlineStr">
        <is>
          <t>facebook</t>
        </is>
      </c>
      <c r="C19" s="5" t="inlineStr">
        <is>
          <t>paid_social</t>
        </is>
      </c>
      <c r="D19" s="11" t="inlineStr">
        <is>
          <t>ls_yjn_meta_mof_partnership_creatorwl</t>
        </is>
      </c>
      <c r="E19" s="5" t="inlineStr">
        <is>
          <t>{{ad.name}}</t>
        </is>
      </c>
      <c r="F19" s="39" t="inlineStr">
        <is>
          <t>https://lakeshoreindia.com/yjunction/?utm_source=facebook&amp;utm_medium=paid_social&amp;utm_campaign=ls_yjn_meta_mof_partnership_creatorwl&amp;utm_content={{ad.name}}&amp;utm_term={{adset.name}}&amp;utm_id={{campaign.id}}</t>
        </is>
      </c>
    </row>
    <row r="20">
      <c r="A20" s="7" t="inlineStr">
        <is>
          <t>LS_YJN_META_BOF_STORELOCATOR_RETARGET</t>
        </is>
      </c>
      <c r="B20" s="7" t="inlineStr">
        <is>
          <t>facebook</t>
        </is>
      </c>
      <c r="C20" s="7" t="inlineStr">
        <is>
          <t>paid_social</t>
        </is>
      </c>
      <c r="D20" s="12" t="inlineStr">
        <is>
          <t>ls_yjn_meta_bof_storelocator_retarget</t>
        </is>
      </c>
      <c r="E20" s="7" t="inlineStr">
        <is>
          <t>{{ad.name}}</t>
        </is>
      </c>
      <c r="F20" s="40" t="inlineStr">
        <is>
          <t>https://lakeshoreindia.com/yjunction/?utm_source=facebook&amp;utm_medium=paid_social&amp;utm_campaign=ls_yjn_meta_bof_storelocator_retarget&amp;utm_content={{ad.name}}&amp;utm_term={{adset.name}}&amp;utm_id={{campaign.id}}</t>
        </is>
      </c>
    </row>
    <row r="21">
      <c r="A21" s="5" t="inlineStr">
        <is>
          <t>LS_YJN_META_BOF_DINEDEAL_CAPI</t>
        </is>
      </c>
      <c r="B21" s="5" t="inlineStr">
        <is>
          <t>facebook</t>
        </is>
      </c>
      <c r="C21" s="5" t="inlineStr">
        <is>
          <t>paid_social</t>
        </is>
      </c>
      <c r="D21" s="11" t="inlineStr">
        <is>
          <t>ls_yjn_meta_bof_dinedeal_capi</t>
        </is>
      </c>
      <c r="E21" s="5" t="inlineStr">
        <is>
          <t>{{ad.name}}</t>
        </is>
      </c>
      <c r="F21" s="39" t="inlineStr">
        <is>
          <t>https://lakeshoreindia.com/yjunction/?utm_source=facebook&amp;utm_medium=paid_social&amp;utm_campaign=ls_yjn_meta_bof_dinedeal_capi&amp;utm_content={{ad.name}}&amp;utm_term={{adset.name}}&amp;utm_id={{campaign.id}}</t>
        </is>
      </c>
    </row>
    <row r="22">
      <c r="A22" s="7" t="inlineStr">
        <is>
          <t>LS_YJN_GADS_TOF_PMAX_LOCALFEED</t>
        </is>
      </c>
      <c r="B22" s="7" t="inlineStr">
        <is>
          <t>google</t>
        </is>
      </c>
      <c r="C22" s="7" t="inlineStr">
        <is>
          <t>paid_search</t>
        </is>
      </c>
      <c r="D22" s="12" t="inlineStr">
        <is>
          <t>ls_yjn_gads_tof_pmax_localfeed</t>
        </is>
      </c>
      <c r="E22" s="7" t="inlineStr">
        <is>
          <t>{{ad.name}}</t>
        </is>
      </c>
      <c r="F22" s="40" t="inlineStr">
        <is>
          <t>https://lakeshoreindia.com/yjunction/?utm_source=google&amp;utm_medium=paid_search&amp;utm_campaign=ls_yjn_gads_tof_pmax_localfeed&amp;utm_content={{ad.name}}&amp;utm_term={{adset.name}}&amp;utm_id={{campaign.id}}</t>
        </is>
      </c>
    </row>
    <row r="23">
      <c r="A23" s="5" t="inlineStr">
        <is>
          <t>LS_YJN_GADS_MOF_SEARCH_CONQUEST-BRAND</t>
        </is>
      </c>
      <c r="B23" s="5" t="inlineStr">
        <is>
          <t>google</t>
        </is>
      </c>
      <c r="C23" s="5" t="inlineStr">
        <is>
          <t>paid_search</t>
        </is>
      </c>
      <c r="D23" s="11" t="inlineStr">
        <is>
          <t>ls_yjn_gads_mof_search_conquest-brand</t>
        </is>
      </c>
      <c r="E23" s="5" t="inlineStr">
        <is>
          <t>{{ad.name}}</t>
        </is>
      </c>
      <c r="F23" s="39" t="inlineStr">
        <is>
          <t>https://lakeshoreindia.com/yjunction/?utm_source=google&amp;utm_medium=paid_search&amp;utm_campaign=ls_yjn_gads_mof_search_conquest-brand&amp;utm_content={{ad.name}}&amp;utm_term={{adset.name}}&amp;utm_id={{campaign.id}}</t>
        </is>
      </c>
    </row>
    <row r="24">
      <c r="A24" s="7" t="inlineStr">
        <is>
          <t>LS_YJN_GADS_BOF_YTSHORTS_RETARGET</t>
        </is>
      </c>
      <c r="B24" s="7" t="inlineStr">
        <is>
          <t>google</t>
        </is>
      </c>
      <c r="C24" s="7" t="inlineStr">
        <is>
          <t>paid_search</t>
        </is>
      </c>
      <c r="D24" s="12" t="inlineStr">
        <is>
          <t>ls_yjn_gads_bof_ytshorts_retarget</t>
        </is>
      </c>
      <c r="E24" s="7" t="inlineStr">
        <is>
          <t>{{ad.name}}</t>
        </is>
      </c>
      <c r="F24" s="40" t="inlineStr">
        <is>
          <t>https://lakeshoreindia.com/yjunction/?utm_source=google&amp;utm_medium=paid_search&amp;utm_campaign=ls_yjn_gads_bof_ytshorts_retarget&amp;utm_content={{ad.name}}&amp;utm_term={{adset.name}}&amp;utm_id={{campaign.id}}</t>
        </is>
      </c>
    </row>
    <row r="25">
      <c r="A25" s="5" t="inlineStr">
        <is>
          <t>LS_BOTH_META_AON_TENANTCOOP_1TO1</t>
        </is>
      </c>
      <c r="B25" s="5" t="inlineStr">
        <is>
          <t>facebook</t>
        </is>
      </c>
      <c r="C25" s="5" t="inlineStr">
        <is>
          <t>paid_social</t>
        </is>
      </c>
      <c r="D25" s="11" t="inlineStr">
        <is>
          <t>ls_both_meta_aon_tenantcoop_1to1</t>
        </is>
      </c>
      <c r="E25" s="5" t="inlineStr">
        <is>
          <t>{{ad.name}}</t>
        </is>
      </c>
      <c r="F25" s="39" t="inlineStr">
        <is>
          <t>https://lakeshoreindia.com/?utm_source=facebook&amp;utm_medium=paid_social&amp;utm_campaign=ls_both_meta_aon_tenantcoop_1to1&amp;utm_content={{ad.name}}&amp;utm_term={{adset.name}}&amp;utm_id={{campaign.id}}</t>
        </is>
      </c>
    </row>
    <row r="26">
      <c r="A26" s="7" t="inlineStr">
        <is>
          <t>LS_BOTH_META_TEST_HOOKLAB_0-3S</t>
        </is>
      </c>
      <c r="B26" s="7" t="inlineStr">
        <is>
          <t>facebook</t>
        </is>
      </c>
      <c r="C26" s="7" t="inlineStr">
        <is>
          <t>paid_social</t>
        </is>
      </c>
      <c r="D26" s="12" t="inlineStr">
        <is>
          <t>ls_both_meta_test_hooklab_0-3s</t>
        </is>
      </c>
      <c r="E26" s="7" t="inlineStr">
        <is>
          <t>{{ad.name}}</t>
        </is>
      </c>
      <c r="F26" s="40" t="inlineStr">
        <is>
          <t>https://lakeshoreindia.com/?utm_source=facebook&amp;utm_medium=paid_social&amp;utm_campaign=ls_both_meta_test_hooklab_0-3s&amp;utm_content={{ad.name}}&amp;utm_term={{adset.name}}&amp;utm_id={{campaign.id}}</t>
        </is>
      </c>
    </row>
    <row r="28" ht="22" customHeight="1">
      <c r="A28" s="41" t="inlineStr">
        <is>
          <t>OFFLINE &amp; FIRST-PARTY SIGNAL PLANNING</t>
        </is>
      </c>
    </row>
    <row r="29" ht="34" customHeight="1">
      <c r="A29" s="38" t="inlineStr">
        <is>
          <t>Signal</t>
        </is>
      </c>
      <c r="B29" s="38" t="inlineStr">
        <is>
          <t>Capture mechanism</t>
        </is>
      </c>
      <c r="C29" s="38" t="inlineStr">
        <is>
          <t>Event name</t>
        </is>
      </c>
      <c r="D29" s="38" t="inlineStr">
        <is>
          <t>Sent to</t>
        </is>
      </c>
      <c r="E29" s="38" t="inlineStr">
        <is>
          <t>Match keys</t>
        </is>
      </c>
      <c r="F29" s="38" t="inlineStr">
        <is>
          <t>Why it matters here</t>
        </is>
      </c>
    </row>
    <row r="30">
      <c r="A30" s="5" t="inlineStr">
        <is>
          <t>Valet QR scan</t>
        </is>
      </c>
      <c r="B30" s="6" t="inlineStr">
        <is>
          <t>QR at valet desk → short link → consent page → CRM row</t>
        </is>
      </c>
      <c r="C30" s="5" t="inlineStr">
        <is>
          <t>LS_VALET_SCAN</t>
        </is>
      </c>
      <c r="D30" s="5" t="inlineStr">
        <is>
          <t>Meta Conversions API + Google Analytics 4 + Google offline conversion import</t>
        </is>
      </c>
      <c r="E30" s="5" t="inlineStr">
        <is>
          <t>Hashed phone, email, click ID (Facebook fbclid / Google gclid)</t>
        </is>
      </c>
      <c r="F30" s="6" t="inlineStr">
        <is>
          <t>Parking is the #1 complaint cluster in KOPA's own 1-star and 2-star reviews (18 mentions). Turning it into a tracked offer fixes the objection AND builds the highest-intent seed audience you will own.</t>
        </is>
      </c>
    </row>
    <row r="31">
      <c r="A31" s="7" t="inlineStr">
        <is>
          <t>Mall Wi-Fi login</t>
        </is>
      </c>
      <c r="B31" s="8" t="inlineStr">
        <is>
          <t>Captive portal, one-tap social or OTP login</t>
        </is>
      </c>
      <c r="C31" s="7" t="inlineStr">
        <is>
          <t>LS_WIFI_LOGIN</t>
        </is>
      </c>
      <c r="D31" s="7" t="inlineStr">
        <is>
          <t>Meta Conversions API, Google Analytics 4</t>
        </is>
      </c>
      <c r="E31" s="7" t="inlineStr">
        <is>
          <t>Hashed phone + device ID</t>
        </is>
      </c>
      <c r="F31" s="8" t="inlineStr">
        <is>
          <t>The only passive, at-scale footfall signal a mall gets. Feeds T2-L1 Value Lookalike.</t>
        </is>
      </c>
    </row>
    <row r="32">
      <c r="A32" s="5" t="inlineStr">
        <is>
          <t>Restaurant reservation</t>
        </is>
      </c>
      <c r="B32" s="6" t="inlineStr">
        <is>
          <t>Zomato / Dineout / direct booking webhook</t>
        </is>
      </c>
      <c r="C32" s="5" t="inlineStr">
        <is>
          <t>LS_RESERVATION</t>
        </is>
      </c>
      <c r="D32" s="5" t="inlineStr">
        <is>
          <t>Meta Conversions API + Google offline import</t>
        </is>
      </c>
      <c r="E32" s="5" t="inlineStr">
        <is>
          <t>Hashed phone, booking ID</t>
        </is>
      </c>
      <c r="F32" s="6" t="inlineStr">
        <is>
          <t>78 of 1,524 scraped comments are dining or table questions — the largest FAQ cluster in the set.</t>
        </is>
      </c>
    </row>
    <row r="33">
      <c r="A33" s="7" t="inlineStr">
        <is>
          <t>Directions click</t>
        </is>
      </c>
      <c r="B33" s="8" t="inlineStr">
        <is>
          <t>Meta 'Get Directions' + Google Maps action</t>
        </is>
      </c>
      <c r="C33" s="7" t="inlineStr">
        <is>
          <t>LS_DIRECTIONS</t>
        </is>
      </c>
      <c r="D33" s="7" t="inlineStr">
        <is>
          <t>Native platform event</t>
        </is>
      </c>
      <c r="E33" s="7" t="inlineStr">
        <is>
          <t>Not applicable</t>
        </is>
      </c>
      <c r="F33" s="8" t="inlineStr">
        <is>
          <t>Closest measurable proxy to a footfall event; drives the Cost per Directions Click guardrail in Tab 5.</t>
        </is>
      </c>
    </row>
    <row r="34">
      <c r="A34" s="5" t="inlineStr">
        <is>
          <t>Cinema / event ticket</t>
        </is>
      </c>
      <c r="B34" s="6" t="inlineStr">
        <is>
          <t>Ticketing partner postback</t>
        </is>
      </c>
      <c r="C34" s="5" t="inlineStr">
        <is>
          <t>LS_TICKET</t>
        </is>
      </c>
      <c r="D34" s="5" t="inlineStr">
        <is>
          <t>Meta Conversions API</t>
        </is>
      </c>
      <c r="E34" s="5" t="inlineStr">
        <is>
          <t>Hashed phone, order ID</t>
        </is>
      </c>
      <c r="F34" s="6" t="inlineStr">
        <is>
          <t>25 comments are event-ticket enquiries — a live, unserved purchase intent.</t>
        </is>
      </c>
    </row>
    <row r="35">
      <c r="A35" s="7" t="inlineStr">
        <is>
          <t>Comment-to-Direct-Message opt-in</t>
        </is>
      </c>
      <c r="B35" s="8" t="inlineStr">
        <is>
          <t>ManyChat keyword trigger (Tab 12)</t>
        </is>
      </c>
      <c r="C35" s="7" t="inlineStr">
        <is>
          <t>LS_DM_OPTIN</t>
        </is>
      </c>
      <c r="D35" s="7" t="inlineStr">
        <is>
          <t>Meta Conversions API (Lead event)</t>
        </is>
      </c>
      <c r="E35" s="7" t="inlineStr">
        <is>
          <t>Page-scoped user ID, converted to a hashed phone number on capture</t>
        </is>
      </c>
      <c r="F35" s="8" t="inlineStr">
        <is>
          <t>Converts organic comment volume into an addressable retargeting pool at zero media cost.</t>
        </is>
      </c>
    </row>
    <row r="37" ht="22" customHeight="1">
      <c r="A37" s="41" t="inlineStr">
        <is>
          <t>GOVERNANCE RULES</t>
        </is>
      </c>
    </row>
    <row r="38" ht="34" customHeight="1">
      <c r="A38" s="38" t="inlineStr">
        <is>
          <t>#</t>
        </is>
      </c>
      <c r="B38" s="38" t="inlineStr">
        <is>
          <t>Rule</t>
        </is>
      </c>
      <c r="C38" s="38" t="inlineStr">
        <is>
          <t>Owner</t>
        </is>
      </c>
      <c r="D38" s="38" t="inlineStr">
        <is>
          <t>Check cadence</t>
        </is>
      </c>
    </row>
    <row r="39">
      <c r="A39" s="5" t="n">
        <v>1</v>
      </c>
      <c r="B39" s="6" t="inlineStr">
        <is>
          <t>No ad goes live without utm_campaign matching its Tab 1 campaign name character-for-character.</t>
        </is>
      </c>
      <c r="C39" s="5" t="inlineStr">
        <is>
          <t>Media buyer</t>
        </is>
      </c>
      <c r="D39" s="5" t="inlineStr">
        <is>
          <t>Pre-launch QA</t>
        </is>
      </c>
    </row>
    <row r="40">
      <c r="A40" s="7" t="n">
        <v>2</v>
      </c>
      <c r="B40" s="8" t="inlineStr">
        <is>
          <t>Attribution window fixed at 7-day click / 1-day view across every campaign. Do not vary it per campaign or the Cost per Directions Click comparison breaks.</t>
        </is>
      </c>
      <c r="C40" s="7" t="inlineStr">
        <is>
          <t>Media buyer</t>
        </is>
      </c>
      <c r="D40" s="7" t="inlineStr">
        <is>
          <t>Monthly</t>
        </is>
      </c>
    </row>
    <row r="41">
      <c r="A41" s="5" t="n">
        <v>3</v>
      </c>
      <c r="B41" s="6" t="inlineStr">
        <is>
          <t>Offline conversion events must land within 24h of the physical event or Meta's match rate degrades.</t>
        </is>
      </c>
      <c r="C41" s="5" t="inlineStr">
        <is>
          <t>Data / CRM</t>
        </is>
      </c>
      <c r="D41" s="5" t="inlineStr">
        <is>
          <t>Weekly</t>
        </is>
      </c>
    </row>
    <row r="42">
      <c r="A42" s="7" t="n">
        <v>4</v>
      </c>
      <c r="B42" s="8" t="inlineStr">
        <is>
          <t>Event Match Quality kept above 6.0; if it drops, the fix is more match keys, not more budget.</t>
        </is>
      </c>
      <c r="C42" s="7" t="inlineStr">
        <is>
          <t>Data / CRM</t>
        </is>
      </c>
      <c r="D42" s="7" t="inlineStr">
        <is>
          <t>Weekly</t>
        </is>
      </c>
    </row>
    <row r="43">
      <c r="A43" s="5" t="n">
        <v>5</v>
      </c>
      <c r="B43" s="6" t="inlineStr">
        <is>
          <t>Google Analytics 4 and Ads Manager reconciled monthly; a variance above 15% on direction clicks is a tagging bug, not a platform quirk.</t>
        </is>
      </c>
      <c r="C43" s="5" t="inlineStr">
        <is>
          <t>Analyst</t>
        </is>
      </c>
      <c r="D43" s="5" t="inlineStr">
        <is>
          <t>Monthly</t>
        </is>
      </c>
    </row>
    <row r="44">
      <c r="A44" s="7" t="n">
        <v>6</v>
      </c>
      <c r="B44" s="8" t="inlineStr">
        <is>
          <t>Creator Partnership Ads inherit the creator handle in utm_content so whitelisting ROI is separable from brand-handle ROI.</t>
        </is>
      </c>
      <c r="C44" s="7" t="inlineStr">
        <is>
          <t>Media buyer</t>
        </is>
      </c>
      <c r="D44" s="7" t="inlineStr">
        <is>
          <t>Per creator</t>
        </is>
      </c>
    </row>
    <row r="45">
      <c r="A45" s="5" t="n">
        <v>7</v>
      </c>
      <c r="B45" s="6" t="inlineStr">
        <is>
          <t>Consent capture on every QR and Wi-Fi flow before any hashed PII is transmitted (India's Digital Personal Data Protection Act, 2023).</t>
        </is>
      </c>
      <c r="C45" s="5" t="inlineStr">
        <is>
          <t>Legal / Data</t>
        </is>
      </c>
      <c r="D45" s="5" t="inlineStr">
        <is>
          <t>Continuous</t>
        </is>
      </c>
    </row>
  </sheetData>
  <mergeCells count="4">
    <mergeCell ref="A28:F28"/>
    <mergeCell ref="A2:L2"/>
    <mergeCell ref="A1:L1"/>
    <mergeCell ref="A37:F37"/>
  </mergeCells>
  <pageMargins left="0.75" right="0.75" top="1" bottom="1" header="0.5" footer="0.5"/>
</worksheet>
</file>

<file path=xl/worksheets/sheet8.xml><?xml version="1.0" encoding="utf-8"?>
<worksheet xmlns="http://schemas.openxmlformats.org/spreadsheetml/2006/main">
  <sheetPr>
    <tabColor rgb="007C2D12"/>
    <outlinePr summaryBelow="1" summaryRight="1"/>
    <pageSetUpPr/>
  </sheetPr>
  <dimension ref="A1:M448"/>
  <sheetViews>
    <sheetView workbookViewId="0">
      <selection activeCell="A1" sqref="A1"/>
    </sheetView>
  </sheetViews>
  <sheetFormatPr baseColWidth="8" defaultRowHeight="15"/>
  <cols>
    <col width="5" customWidth="1" min="1" max="1"/>
    <col width="34" customWidth="1" min="2" max="2"/>
    <col width="40" customWidth="1" min="3" max="3"/>
    <col width="30" customWidth="1" min="4" max="4"/>
    <col width="11" customWidth="1" min="5" max="5"/>
    <col width="7" customWidth="1" min="6" max="6"/>
    <col width="13" customWidth="1" min="7" max="7"/>
    <col width="11" customWidth="1" min="8" max="8"/>
    <col width="24" customWidth="1" min="9" max="9"/>
    <col width="12" customWidth="1" min="10" max="10"/>
    <col width="60" customWidth="1" min="11" max="11"/>
    <col width="80" customWidth="1" min="12" max="12"/>
    <col width="52" customWidth="1" min="13" max="13"/>
  </cols>
  <sheetData>
    <row r="1" ht="30" customHeight="1">
      <c r="A1" s="42" t="inlineStr">
        <is>
          <t>7 · COMPETITOR AD DECONSTRUCTION — ALL 425 SCRAPED META AD LIBRARY CARDS</t>
        </is>
      </c>
    </row>
    <row r="2" ht="20" customHeight="1">
      <c r="A2" s="2" t="inlineStr">
        <is>
          <t>369 of 425 still live. Sorted by days running, so the evergreen winners — the ads a rival has been happy to pay for longest — sit at the top.</t>
        </is>
      </c>
    </row>
    <row r="4" ht="22" customHeight="1">
      <c r="A4" s="43" t="inlineStr">
        <is>
          <t>A · WHAT THE AUCTION LOOKS LIKE</t>
        </is>
      </c>
    </row>
    <row r="5" ht="34" customHeight="1">
      <c r="A5" s="44" t="inlineStr">
        <is>
          <t>Cut</t>
        </is>
      </c>
      <c r="B5" s="44" t="inlineStr">
        <is>
          <t>Breakdown</t>
        </is>
      </c>
    </row>
    <row r="6">
      <c r="A6" s="5" t="inlineStr">
        <is>
          <t>Ads per mall catchment</t>
        </is>
      </c>
      <c r="B6" s="6" t="inlineStr">
        <is>
          <t>KOPA Mall Pune: 57   •   Phoenix Mall of the Millennium Wakad: 56   •   The Pavillion Pune: 48   •   Phoenix Marketcity Pune: 45   •   Nexus Hyderabad Mall: 45   •   Inorbit Mall Cyberabad: 40   •   Seasons Mall Pune: 39   •   Lulu Mall Hyderabad: 37   •   Sarath City Capital Mall: 35   •   Amanora Mall Pune: 23</t>
        </is>
      </c>
    </row>
    <row r="7">
      <c r="A7" s="7" t="inlineStr">
        <is>
          <t>Call to Action used</t>
        </is>
      </c>
      <c r="B7" s="8" t="inlineStr">
        <is>
          <t>Learn More: 388   •   Sign Up: 12   •   Get Offer: 12   •   Book Now: 10   •   Shop Now: 3</t>
        </is>
      </c>
    </row>
    <row r="8">
      <c r="A8" s="5" t="inlineStr">
        <is>
          <t>Advertiser type</t>
        </is>
      </c>
      <c r="B8" s="6" t="inlineStr">
        <is>
          <t>Other Advertiser (Event / Service / Direct-to-Consumer): 197   •   Real Estate Developer (Location-Piggyback): 189   •   Mall / Landlord (Direct Competitor): 22   •   Tenant / Retail Brand (Co-Op Candidate): 17</t>
        </is>
      </c>
    </row>
    <row r="9">
      <c r="A9" s="7" t="inlineStr">
        <is>
          <t>Longevity tier</t>
        </is>
      </c>
      <c r="B9" s="8" t="inlineStr">
        <is>
          <t>Fresh Test (&lt;30d): 264   •   Evergreen Winner (90d+): 51   •   Unknown: 50   •   Mid Flight (30-59d): 41   •   Proven Scaler (60-89d): 19</t>
        </is>
      </c>
    </row>
    <row r="10">
      <c r="A10" s="5" t="inlineStr">
        <is>
          <t>Top 10 spenders by ad count</t>
        </is>
      </c>
      <c r="B10" s="6" t="inlineStr">
        <is>
          <t>Broadway Live: 25   •   Sukhwani Skylines: 16   •   Hyderabad Luxury Properties: 16   •   57 Elevate: 14   •   Ivana Jewels: 14   •   Samsung: 11   •   Top Launch Properties in Hyderabad: 11   •   Pristine Developers: 8   •   Godrej Kukatpally, New Launch, Hyderabad: 8   •   Rohan Builders India: 7</t>
        </is>
      </c>
    </row>
    <row r="12" ht="22" customHeight="1">
      <c r="A12" s="43" t="inlineStr">
        <is>
          <t>B · THE FIVE STRUCTURAL FLAWS IN THIS AUCTION — AND THE LAKE SHORE COUNTER-STRIKE</t>
        </is>
      </c>
    </row>
    <row r="13" ht="34" customHeight="1">
      <c r="A13" s="44" t="inlineStr">
        <is>
          <t>#</t>
        </is>
      </c>
      <c r="B13" s="44" t="inlineStr">
        <is>
          <t>Competitor pattern (measured)</t>
        </is>
      </c>
      <c r="C13" s="44" t="inlineStr">
        <is>
          <t>The flaw</t>
        </is>
      </c>
      <c r="D13" s="44" t="inlineStr">
        <is>
          <t>KOPA / Y Junction counter-strike</t>
        </is>
      </c>
    </row>
    <row r="14">
      <c r="A14" s="5" t="n">
        <v>1</v>
      </c>
      <c r="B14" s="6" t="inlineStr">
        <is>
          <t>388 of 425 ads (91%) use the Call to Action 'Learn More'.</t>
        </is>
      </c>
      <c r="C14" s="6" t="inlineStr">
        <is>
          <t>No ad in this market asks for a physical action. The whole auction optimises for a click that leads nowhere.</t>
        </is>
      </c>
      <c r="D14" s="6" t="inlineStr">
        <is>
          <t>Run 'Get Directions' and 'Book Now' as the primary Call to Action on all Bottom of Funnel (Action). You will be the only advertiser in either city buying a footfall action.</t>
        </is>
      </c>
    </row>
    <row r="15">
      <c r="A15" s="7" t="n">
        <v>2</v>
      </c>
      <c r="B15" s="8" t="inlineStr">
        <is>
          <t>189 of 425 ads are real-estate developers using mall names as a location proxy ('Phoenix Marketcity &amp; Seasons Mall nearby').</t>
        </is>
      </c>
      <c r="C15" s="8" t="inlineStr">
        <is>
          <t>Developers are inflating Cost per 1,000 impressions on mall keywords while selling apartments, not visits. They out-spend the malls themselves.</t>
        </is>
      </c>
      <c r="D15" s="8" t="inlineStr">
        <is>
          <t>Do not bid against them on broad mall terms. Bid on the friction terms they never touch — parking, valet, table, timings — where Cost per 1,000 impressions are unpolluted.</t>
        </is>
      </c>
    </row>
    <row r="16">
      <c r="A16" s="5" t="n">
        <v>3</v>
      </c>
      <c r="B16" s="6" t="inlineStr">
        <is>
          <t>Only 22 of 425 ads come from malls themselves. Mall landlords are barely in the paid auction.</t>
        </is>
      </c>
      <c r="C16" s="6" t="inlineStr">
        <is>
          <t>The category's own landlords have ceded paid social to their tenants and to developers.</t>
        </is>
      </c>
      <c r="D16" s="6" t="inlineStr">
        <is>
          <t>This is the whole opportunity. A consistent always-on mall voice has no incumbent to displace.</t>
        </is>
      </c>
    </row>
    <row r="17">
      <c r="A17" s="7" t="n">
        <v>4</v>
      </c>
      <c r="B17" s="8" t="inlineStr">
        <is>
          <t>51 ads have run 90+ days ('evergreen winners'), 264 are under 30 days.</t>
        </is>
      </c>
      <c r="C17" s="8" t="inlineStr">
        <is>
          <t>Most rivals are churning short seasonal tests and learning nothing. The few evergreen ads are the only real signal.</t>
        </is>
      </c>
      <c r="D17" s="8" t="inlineStr">
        <is>
          <t>Copy the evergreen structures (Tab 7C), not the seasonal ones. Then out-flight them: your rivals' median ad dies before Meta finishes learning.</t>
        </is>
      </c>
    </row>
    <row r="18">
      <c r="A18" s="5" t="n">
        <v>5</v>
      </c>
      <c r="B18" s="6" t="inlineStr">
        <is>
          <t>Only 17 of 425 are tenant/retail brands running mall-adjacent creative.</t>
        </is>
      </c>
      <c r="C18" s="6" t="inlineStr">
        <is>
          <t>Tenant co-op money is almost entirely unclaimed in both cities.</t>
        </is>
      </c>
      <c r="D18" s="6" t="inlineStr">
        <is>
          <t>Tab 9: build the ₹1:₹1 matched co-op framework and go get it.</t>
        </is>
      </c>
    </row>
    <row r="20" ht="22" customHeight="1">
      <c r="A20" s="43" t="inlineStr">
        <is>
          <t>C · ALL 425 SCRAPED ADS — HOOKS, LONGEVITY &amp; COUNTER-ANGLE</t>
        </is>
      </c>
    </row>
    <row r="21" ht="34" customHeight="1">
      <c r="A21" s="44" t="inlineStr">
        <is>
          <t>#</t>
        </is>
      </c>
      <c r="B21" s="44" t="inlineStr">
        <is>
          <t>Advertiser</t>
        </is>
      </c>
      <c r="C21" s="44" t="inlineStr">
        <is>
          <t>Advertiser type</t>
        </is>
      </c>
      <c r="D21" s="44" t="inlineStr">
        <is>
          <t>Catchment targeted</t>
        </is>
      </c>
      <c r="E21" s="44" t="inlineStr">
        <is>
          <t>City</t>
        </is>
      </c>
      <c r="F21" s="44" t="inlineStr">
        <is>
          <t>Live?</t>
        </is>
      </c>
      <c r="G21" s="44" t="inlineStr">
        <is>
          <t>Start date</t>
        </is>
      </c>
      <c r="H21" s="44" t="inlineStr">
        <is>
          <t>Days running</t>
        </is>
      </c>
      <c r="I21" s="44" t="inlineStr">
        <is>
          <t>Longevity tier</t>
        </is>
      </c>
      <c r="J21" s="44" t="inlineStr">
        <is>
          <t>Call to Action</t>
        </is>
      </c>
      <c r="K21" s="44" t="inlineStr">
        <is>
          <t>First 3 seconds — opening hook (first line of the ad copy)</t>
        </is>
      </c>
      <c r="L21" s="44" t="inlineStr">
        <is>
          <t>Body copy (truncated)</t>
        </is>
      </c>
      <c r="M21" s="44" t="inlineStr">
        <is>
          <t>Ad Library link</t>
        </is>
      </c>
    </row>
    <row r="22">
      <c r="A22" s="5" t="n">
        <v>1</v>
      </c>
      <c r="B22" s="5" t="inlineStr">
        <is>
          <t>clicksbyrushi</t>
        </is>
      </c>
      <c r="C22" s="5" t="inlineStr">
        <is>
          <t>Other Advertiser (Event / Service / Direct-to-Consumer)</t>
        </is>
      </c>
      <c r="D22" s="5" t="inlineStr">
        <is>
          <t>The Pavillion Pune</t>
        </is>
      </c>
      <c r="E22" s="5" t="inlineStr">
        <is>
          <t>Pune</t>
        </is>
      </c>
      <c r="F22" s="5" t="inlineStr">
        <is>
          <t>LIVE</t>
        </is>
      </c>
      <c r="G22" s="5" t="inlineStr">
        <is>
          <t>29 Jul 2024</t>
        </is>
      </c>
      <c r="H22" s="5" t="n">
        <v>765</v>
      </c>
      <c r="I22" s="5" t="inlineStr">
        <is>
          <t>Evergreen Winner (90d+)</t>
        </is>
      </c>
      <c r="J22" s="5" t="inlineStr">
        <is>
          <t>Learn More</t>
        </is>
      </c>
      <c r="K22" s="6" t="inlineStr">
        <is>
          <t xml:space="preserve">Book your wedding dates with us and make your day memorable 💫💫  Yash &amp; saloni  Pune </t>
        </is>
      </c>
      <c r="L22" s="6" t="inlineStr">
        <is>
          <t>Book your wedding dates with us and make your day memorable 💫💫  Yash &amp; saloni  Pune | jan 2024   #weddding #weddingphotography #wedding #weddinginspiration #oxford #oxfordpune #oxfordgolfresortpune #punebrides #punekars #punediaries #couple #weddingideas #weddingvenue #makeupartist #makeup INSTAGRAM.COM Visit Instagram Profile   INSTAGRAM.COM Visit Instagram Profile   INSTAGRAM.COM Visit Instagram Profile   INSTAGRAM.COM Visit Instagram Profile   INSTAGRAM.COM Visit Instagram Profile   INSTAGR</t>
        </is>
      </c>
      <c r="M22" s="5" t="inlineStr">
        <is>
          <t>https://www.facebook.com/ads/library/?id=1869058303601094</t>
        </is>
      </c>
    </row>
    <row r="23">
      <c r="A23" s="7" t="n">
        <v>2</v>
      </c>
      <c r="B23" s="7" t="inlineStr">
        <is>
          <t>Party Bash - Private Theatres for Celebrations in Hyderabad</t>
        </is>
      </c>
      <c r="C23" s="7" t="inlineStr">
        <is>
          <t>Other Advertiser (Event / Service / Direct-to-Consumer)</t>
        </is>
      </c>
      <c r="D23" s="7" t="inlineStr">
        <is>
          <t>Nexus Hyderabad Mall</t>
        </is>
      </c>
      <c r="E23" s="7" t="inlineStr">
        <is>
          <t>Hyderabad</t>
        </is>
      </c>
      <c r="F23" s="7" t="inlineStr">
        <is>
          <t>LIVE</t>
        </is>
      </c>
      <c r="G23" s="7" t="inlineStr">
        <is>
          <t>11 Jun 2025</t>
        </is>
      </c>
      <c r="H23" s="7" t="n">
        <v>448</v>
      </c>
      <c r="I23" s="7" t="inlineStr">
        <is>
          <t>Evergreen Winner (90d+)</t>
        </is>
      </c>
      <c r="J23" s="7" t="inlineStr">
        <is>
          <t>Learn More</t>
        </is>
      </c>
      <c r="K23" s="8" t="inlineStr">
        <is>
          <t>Celebrate your special day in style!</t>
        </is>
      </c>
      <c r="L23" s="8" t="inlineStr">
        <is>
          <t>Celebrate your special day in style! 🎉 Get a private theatre experience at PARTY BASH starting ₹2,299. Enjoy cakes, love &amp; memories with stunning decor, food, photography &amp; more!</t>
        </is>
      </c>
      <c r="M23" s="7" t="inlineStr">
        <is>
          <t>https://www.facebook.com/ads/library/?id=1246439710270522</t>
        </is>
      </c>
    </row>
    <row r="24">
      <c r="A24" s="5" t="n">
        <v>3</v>
      </c>
      <c r="B24" s="5" t="inlineStr">
        <is>
          <t>Party Bash - Private Theatres for Celebrations in Hyderabad</t>
        </is>
      </c>
      <c r="C24" s="5" t="inlineStr">
        <is>
          <t>Other Advertiser (Event / Service / Direct-to-Consumer)</t>
        </is>
      </c>
      <c r="D24" s="5" t="inlineStr">
        <is>
          <t>Nexus Hyderabad Mall</t>
        </is>
      </c>
      <c r="E24" s="5" t="inlineStr">
        <is>
          <t>Hyderabad</t>
        </is>
      </c>
      <c r="F24" s="5" t="inlineStr">
        <is>
          <t>LIVE</t>
        </is>
      </c>
      <c r="G24" s="5" t="inlineStr">
        <is>
          <t>11 Jun 2025</t>
        </is>
      </c>
      <c r="H24" s="5" t="n">
        <v>448</v>
      </c>
      <c r="I24" s="5" t="inlineStr">
        <is>
          <t>Evergreen Winner (90d+)</t>
        </is>
      </c>
      <c r="J24" s="5" t="inlineStr">
        <is>
          <t>Learn More</t>
        </is>
      </c>
      <c r="K24" s="6" t="inlineStr">
        <is>
          <t>Celebrate your special day in style!</t>
        </is>
      </c>
      <c r="L24" s="6" t="inlineStr">
        <is>
          <t>Celebrate your special day in style! 🎉 Get a private theatre experience at PARTY BASH starting ₹2,299. Enjoy cakes, love &amp; memories with stunning decor, food, photography &amp; more!</t>
        </is>
      </c>
      <c r="M24" s="5" t="inlineStr">
        <is>
          <t>https://www.facebook.com/ads/library/?id=699701276185072</t>
        </is>
      </c>
    </row>
    <row r="25">
      <c r="A25" s="7" t="n">
        <v>4</v>
      </c>
      <c r="B25" s="7" t="inlineStr">
        <is>
          <t>Thetattooshopseasonsmall</t>
        </is>
      </c>
      <c r="C25" s="7" t="inlineStr">
        <is>
          <t>Mall / Landlord (Direct Competitor)</t>
        </is>
      </c>
      <c r="D25" s="7" t="inlineStr">
        <is>
          <t>Seasons Mall Pune</t>
        </is>
      </c>
      <c r="E25" s="7" t="inlineStr">
        <is>
          <t>Pune</t>
        </is>
      </c>
      <c r="F25" s="7" t="inlineStr">
        <is>
          <t>LIVE</t>
        </is>
      </c>
      <c r="G25" s="7" t="inlineStr">
        <is>
          <t>14 Jul 2025</t>
        </is>
      </c>
      <c r="H25" s="7" t="n">
        <v>415</v>
      </c>
      <c r="I25" s="7" t="inlineStr">
        <is>
          <t>Evergreen Winner (90d+)</t>
        </is>
      </c>
      <c r="J25" s="7" t="inlineStr">
        <is>
          <t>Learn More</t>
        </is>
      </c>
      <c r="K25" s="8" t="inlineStr">
        <is>
          <t>🔥 50% OFF – Because Amazing Tattoos Shouldn’t Cost a Fortune!</t>
        </is>
      </c>
      <c r="L25" s="8" t="inlineStr">
        <is>
          <t>🔥 50% OFF – Because Amazing Tattoos Shouldn’t Cost a Fortune! 🔥  📍 The Tattoo Shop – seasons mall pune 3rd floor near KFC   Why we’re worth it: ✅ 10+ Years Tattooing Dreams ✅ Super Clean &amp; Safe – Fresh Needles Always ✅ Permanent &amp; Temporary Tattoos – You Decide  💥 Half the price, full creativity. Limited slots only! 👉 Get inked. Get noticed. Get 50% OFF NOW! 🖋️ 0:00 / 0:36 API.WHATSAPP.COM Chat with us Send WhatsApp message ​ Active</t>
        </is>
      </c>
      <c r="M25" s="7" t="inlineStr">
        <is>
          <t>https://www.facebook.com/ads/library/?id=643209144732977</t>
        </is>
      </c>
    </row>
    <row r="26">
      <c r="A26" s="5" t="n">
        <v>5</v>
      </c>
      <c r="B26" s="5" t="inlineStr">
        <is>
          <t>Party Bash - Private Theatres for Celebrations in Hyderabad</t>
        </is>
      </c>
      <c r="C26" s="5" t="inlineStr">
        <is>
          <t>Other Advertiser (Event / Service / Direct-to-Consumer)</t>
        </is>
      </c>
      <c r="D26" s="5" t="inlineStr">
        <is>
          <t>Nexus Hyderabad Mall</t>
        </is>
      </c>
      <c r="E26" s="5" t="inlineStr">
        <is>
          <t>Hyderabad</t>
        </is>
      </c>
      <c r="F26" s="5" t="inlineStr">
        <is>
          <t>LIVE</t>
        </is>
      </c>
      <c r="G26" s="5" t="inlineStr">
        <is>
          <t>15 Sep 2025</t>
        </is>
      </c>
      <c r="H26" s="5" t="n">
        <v>352</v>
      </c>
      <c r="I26" s="5" t="inlineStr">
        <is>
          <t>Evergreen Winner (90d+)</t>
        </is>
      </c>
      <c r="J26" s="5" t="inlineStr">
        <is>
          <t>Learn More</t>
        </is>
      </c>
      <c r="K26" s="6" t="inlineStr">
        <is>
          <t>🔥 Party Like Never Before at KPHB Private Theatres Chat with us 🔥 Party Like Never Before at KPHB Private Theatres!</t>
        </is>
      </c>
      <c r="L26" s="6" t="inlineStr">
        <is>
          <t>🔥 Party Like Never Before at KPHB Private Theatres Chat with us 🔥 Party Like Never Before at KPHB Private Theatres! Looking for the ultimate celebration spot? 🎉 PartyBash Private Theatres in KPHB bring you luxury, privacy, and non-stop fun — all in one place! 🎂 Birthday Parties | 🎬 Private Screenings | 🍕 Food &amp; Drinks | 🎮 Gaming | 💃 Dance Floor ✨ Whether it's a movie night with friends or a surprise bash for someone special, we’ve got the perfect setup just for YOU! 📍 Located across all</t>
        </is>
      </c>
      <c r="M26" s="5" t="inlineStr">
        <is>
          <t>https://www.facebook.com/ads/library/?id=2059498268123520</t>
        </is>
      </c>
    </row>
    <row r="27">
      <c r="A27" s="7" t="n">
        <v>6</v>
      </c>
      <c r="B27" s="7" t="inlineStr">
        <is>
          <t>KitchenHub</t>
        </is>
      </c>
      <c r="C27" s="7" t="inlineStr">
        <is>
          <t>Other Advertiser (Event / Service / Direct-to-Consumer)</t>
        </is>
      </c>
      <c r="D27" s="7" t="inlineStr">
        <is>
          <t>Sarath City Capital Mall</t>
        </is>
      </c>
      <c r="E27" s="7" t="inlineStr">
        <is>
          <t>Hyderabad</t>
        </is>
      </c>
      <c r="F27" s="7" t="inlineStr">
        <is>
          <t>LIVE</t>
        </is>
      </c>
      <c r="G27" s="7" t="inlineStr">
        <is>
          <t>19 Nov 2025</t>
        </is>
      </c>
      <c r="H27" s="7" t="n">
        <v>287</v>
      </c>
      <c r="I27" s="7" t="inlineStr">
        <is>
          <t>Evergreen Winner (90d+)</t>
        </is>
      </c>
      <c r="J27" s="7" t="inlineStr">
        <is>
          <t>Learn More</t>
        </is>
      </c>
      <c r="K27" s="8" t="inlineStr">
        <is>
          <t>Kitchen Hub is a one-stop-shop for all home and kitchen needs for the urban customer.</t>
        </is>
      </c>
      <c r="L27" s="8" t="inlineStr">
        <is>
          <t>Kitchen Hub is a one-stop-shop for all home and kitchen needs for the urban customer. INSTAGRAM.COM KitchenHub 7,355 Followers, 5 Following, 237 Posts - See Instagram photos and videos from Kitchen Hub (@kitchenhub_official) Watch more ​ Active</t>
        </is>
      </c>
      <c r="M27" s="7" t="inlineStr">
        <is>
          <t>https://www.facebook.com/ads/library/?id=819866394264255</t>
        </is>
      </c>
    </row>
    <row r="28">
      <c r="A28" s="5" t="n">
        <v>7</v>
      </c>
      <c r="B28" s="5" t="inlineStr">
        <is>
          <t>Vishal Group</t>
        </is>
      </c>
      <c r="C28" s="5" t="inlineStr">
        <is>
          <t>Real Estate Developer (Location-Piggyback)</t>
        </is>
      </c>
      <c r="D28" s="5" t="inlineStr">
        <is>
          <t>Amanora Mall Pune</t>
        </is>
      </c>
      <c r="E28" s="5" t="inlineStr">
        <is>
          <t>Pune</t>
        </is>
      </c>
      <c r="F28" s="5" t="inlineStr">
        <is>
          <t>LIVE</t>
        </is>
      </c>
      <c r="G28" s="5" t="inlineStr">
        <is>
          <t>3 Dec 2025</t>
        </is>
      </c>
      <c r="H28" s="5" t="n">
        <v>273</v>
      </c>
      <c r="I28" s="5" t="inlineStr">
        <is>
          <t>Evergreen Winner (90d+)</t>
        </is>
      </c>
      <c r="J28" s="5" t="inlineStr">
        <is>
          <t>Learn More</t>
        </is>
      </c>
      <c r="K28" s="6" t="inlineStr">
        <is>
          <t>Mundhwa Is Going Max Now!</t>
        </is>
      </c>
      <c r="L28" s="6" t="inlineStr">
        <is>
          <t>Mundhwa Is Going Max Now! Presenting 2,3,4 BHK Ultra Luxury Homes At Mundhwa Magarpatta Road, Near Amanora Mall. Starting From 1.04* Cr (AI). Sample Flat Is Ready. Explore Your Dream Home Now. 0:00 / 0:47 FB.ME 2,3,4 BHK Homes 1.04* Cr Explore Your Dream Home Today. Get quote ​ Active</t>
        </is>
      </c>
      <c r="M28" s="5" t="inlineStr">
        <is>
          <t>https://www.facebook.com/ads/library/?id=1383948893405759</t>
        </is>
      </c>
    </row>
    <row r="29">
      <c r="A29" s="7" t="n">
        <v>8</v>
      </c>
      <c r="B29" s="7" t="inlineStr">
        <is>
          <t>Glow and Graft - Skin and Hair Clinic</t>
        </is>
      </c>
      <c r="C29" s="7" t="inlineStr">
        <is>
          <t>Other Advertiser (Event / Service / Direct-to-Consumer)</t>
        </is>
      </c>
      <c r="D29" s="7" t="inlineStr">
        <is>
          <t>Phoenix Mall of the Millennium Wakad</t>
        </is>
      </c>
      <c r="E29" s="7" t="inlineStr">
        <is>
          <t>Pune</t>
        </is>
      </c>
      <c r="F29" s="7" t="inlineStr">
        <is>
          <t>LIVE</t>
        </is>
      </c>
      <c r="G29" s="7" t="inlineStr">
        <is>
          <t>21 Dec 2025</t>
        </is>
      </c>
      <c r="H29" s="7" t="n">
        <v>255</v>
      </c>
      <c r="I29" s="7" t="inlineStr">
        <is>
          <t>Evergreen Winner (90d+)</t>
        </is>
      </c>
      <c r="J29" s="7" t="inlineStr">
        <is>
          <t>Learn More</t>
        </is>
      </c>
      <c r="K29" s="8" t="inlineStr">
        <is>
          <t>Limited Time Offer!</t>
        </is>
      </c>
      <c r="L29" s="8" t="inlineStr">
        <is>
          <t>Limited Time Offer! Brighten your skin in just 6 sessions with our advanced Glutathione IV Therapy at Glow &amp; Graft Clinic, Wakad.  ✅ Radiant Glow ✅ Even Skin Tone ✅ Detox &amp; Anti-Aging Benefits  📍 Near Phoenix Millennium Mall 📞 Call Now: 9730053535  💬 “Glow Naturally, Shine Confidently!” Your journey to luminous skin starts here. WHATSAPP Glow Naturally with Glutathione IV Therapy – Up to 50% OFF! Limited Time Offer! Brighten your skin in just 6 sessions with our advanced Glutathione IV Therap</t>
        </is>
      </c>
      <c r="M29" s="7" t="inlineStr">
        <is>
          <t>https://www.facebook.com/ads/library/?id=2066654690838052</t>
        </is>
      </c>
    </row>
    <row r="30">
      <c r="A30" s="5" t="n">
        <v>9</v>
      </c>
      <c r="B30" s="5" t="inlineStr">
        <is>
          <t>Sukhwani Skylines</t>
        </is>
      </c>
      <c r="C30" s="5" t="inlineStr">
        <is>
          <t>Real Estate Developer (Location-Piggyback)</t>
        </is>
      </c>
      <c r="D30" s="5" t="inlineStr">
        <is>
          <t>Phoenix Mall of the Millennium Wakad</t>
        </is>
      </c>
      <c r="E30" s="5" t="inlineStr">
        <is>
          <t>Pune</t>
        </is>
      </c>
      <c r="F30" s="5" t="inlineStr">
        <is>
          <t>LIVE</t>
        </is>
      </c>
      <c r="G30" s="5" t="inlineStr">
        <is>
          <t>25 Dec 2025</t>
        </is>
      </c>
      <c r="H30" s="5" t="n">
        <v>251</v>
      </c>
      <c r="I30" s="5" t="inlineStr">
        <is>
          <t>Evergreen Winner (90d+)</t>
        </is>
      </c>
      <c r="J30" s="5" t="inlineStr">
        <is>
          <t>Learn More</t>
        </is>
      </c>
      <c r="K30" s="6" t="inlineStr">
        <is>
          <t>Homes Ready.</t>
        </is>
      </c>
      <c r="L30" s="6" t="inlineStr">
        <is>
          <t>Homes Ready. Savings Ready. Experiences Ready. Last few units left!   Move in today to 2 or 3 BHK homes at Sukhwani Skylines and pay nothing extra - No GST, No Rent,  No Pre-EMI  PROKIDS™ Homes  6-Acre Landmark Project 5 Levels of Amenities 40,000+ sq. ft. Central Amenity Space  Exclusive Amenity Tower 2 mins from Phoenix Mall of Millennium  Only 500m from Bhumkar Chowk  Enquire Now! 0:00 / 0:00 ​ Active</t>
        </is>
      </c>
      <c r="M30" s="5" t="inlineStr">
        <is>
          <t>https://www.facebook.com/ads/library/?id=1518035315980006</t>
        </is>
      </c>
    </row>
    <row r="31">
      <c r="A31" s="7" t="n">
        <v>10</v>
      </c>
      <c r="B31" s="7" t="inlineStr">
        <is>
          <t>Sukhwani Skylines</t>
        </is>
      </c>
      <c r="C31" s="7" t="inlineStr">
        <is>
          <t>Real Estate Developer (Location-Piggyback)</t>
        </is>
      </c>
      <c r="D31" s="7" t="inlineStr">
        <is>
          <t>Phoenix Mall of the Millennium Wakad</t>
        </is>
      </c>
      <c r="E31" s="7" t="inlineStr">
        <is>
          <t>Pune</t>
        </is>
      </c>
      <c r="F31" s="7" t="inlineStr">
        <is>
          <t>LIVE</t>
        </is>
      </c>
      <c r="G31" s="7" t="inlineStr">
        <is>
          <t>25 Dec 2025</t>
        </is>
      </c>
      <c r="H31" s="7" t="n">
        <v>251</v>
      </c>
      <c r="I31" s="7" t="inlineStr">
        <is>
          <t>Evergreen Winner (90d+)</t>
        </is>
      </c>
      <c r="J31" s="7" t="inlineStr">
        <is>
          <t>Learn More</t>
        </is>
      </c>
      <c r="K31" s="8" t="inlineStr">
        <is>
          <t>Homes Ready.</t>
        </is>
      </c>
      <c r="L31" s="8" t="inlineStr">
        <is>
          <t>Homes Ready. Savings Ready. Experiences Ready. Last few units left!   Move in today to 2 or 3 BHK homes at Sukhwani Skylines and pay nothing extra - No GST, No Rent,  No Pre-EMI  PROKIDS™ Homes  6-Acre Landmark Project 5 Levels of Amenities 40,000+ sq. ft. Central Amenity Space  Exclusive Amenity Tower 2 mins from Phoenix Mall of Millennium  Only 500m from Bhumkar Chowk  Enquire Now! 0:00 / 0:00 ​ Active</t>
        </is>
      </c>
      <c r="M31" s="7" t="inlineStr">
        <is>
          <t>https://www.facebook.com/ads/library/?id=1194231055414865</t>
        </is>
      </c>
    </row>
    <row r="32">
      <c r="A32" s="5" t="n">
        <v>11</v>
      </c>
      <c r="B32" s="5" t="inlineStr">
        <is>
          <t>Rajveer Garima - Wakad</t>
        </is>
      </c>
      <c r="C32" s="5" t="inlineStr">
        <is>
          <t>Real Estate Developer (Location-Piggyback)</t>
        </is>
      </c>
      <c r="D32" s="5" t="inlineStr">
        <is>
          <t>Phoenix Mall of the Millennium Wakad</t>
        </is>
      </c>
      <c r="E32" s="5" t="inlineStr">
        <is>
          <t>Pune</t>
        </is>
      </c>
      <c r="F32" s="5" t="inlineStr">
        <is>
          <t>LIVE</t>
        </is>
      </c>
      <c r="G32" s="5" t="inlineStr">
        <is>
          <t>12 Jan 2026</t>
        </is>
      </c>
      <c r="H32" s="5" t="n">
        <v>233</v>
      </c>
      <c r="I32" s="5" t="inlineStr">
        <is>
          <t>Evergreen Winner (90d+)</t>
        </is>
      </c>
      <c r="J32" s="5" t="inlineStr">
        <is>
          <t>Learn More</t>
        </is>
      </c>
      <c r="K32" s="6" t="inlineStr">
        <is>
          <t>Introducing RAJVEER GARIMA -  AN ADDRESS THAT HAS EVERYTHING, 5 Mins from Datta Mandir Road  Discover Premium 2 and 3 BH</t>
        </is>
      </c>
      <c r="L32" s="6" t="inlineStr">
        <is>
          <t>Introducing RAJVEER GARIMA -  AN ADDRESS THAT HAS EVERYTHING, 5 Mins from Datta Mandir Road  Discover Premium 2 and 3 BHKs From 1.09 Cr(All.Incl)  ✅ 90+ Lifestyle Indulgences ✅ 4 Flats Per Floor  ✅ Close to Phoenix Mall of the Millennium  Enquire now to book your dream home today! 0:00 / 1:21 WWW.RAJVEERGARIMA.COM Premium 2&amp;3 BHKs starts from 1.18CR* (All.Inc) 90+ larger-than-life amenities with Swimming Pool, Gym &amp; Club House</t>
        </is>
      </c>
      <c r="M32" s="5" t="inlineStr">
        <is>
          <t>https://www.facebook.com/ads/library/?id=3809427432697771</t>
        </is>
      </c>
    </row>
    <row r="33">
      <c r="A33" s="7" t="n">
        <v>12</v>
      </c>
      <c r="B33" s="7" t="inlineStr">
        <is>
          <t>Rajveer Garima - Wakad</t>
        </is>
      </c>
      <c r="C33" s="7" t="inlineStr">
        <is>
          <t>Real Estate Developer (Location-Piggyback)</t>
        </is>
      </c>
      <c r="D33" s="7" t="inlineStr">
        <is>
          <t>Phoenix Mall of the Millennium Wakad</t>
        </is>
      </c>
      <c r="E33" s="7" t="inlineStr">
        <is>
          <t>Pune</t>
        </is>
      </c>
      <c r="F33" s="7" t="inlineStr">
        <is>
          <t>LIVE</t>
        </is>
      </c>
      <c r="G33" s="7" t="inlineStr">
        <is>
          <t>12 Jan 2026</t>
        </is>
      </c>
      <c r="H33" s="7" t="n">
        <v>233</v>
      </c>
      <c r="I33" s="7" t="inlineStr">
        <is>
          <t>Evergreen Winner (90d+)</t>
        </is>
      </c>
      <c r="J33" s="7" t="inlineStr">
        <is>
          <t>Learn More</t>
        </is>
      </c>
      <c r="K33" s="8" t="inlineStr">
        <is>
          <t>Introducing RAJVEER GARIMA -  AN ADDRESS THAT HAS EVERYTHING, 5 Mins from Datta Mandir Road  Discover Premium 2 and 3 BH</t>
        </is>
      </c>
      <c r="L33" s="8" t="inlineStr">
        <is>
          <t>Introducing RAJVEER GARIMA -  AN ADDRESS THAT HAS EVERYTHING, 5 Mins from Datta Mandir Road  Discover Premium 2 and 3 BHKs From 1.09 Cr(All.Incl)  ✅ 90+ Lifestyle Indulgences ✅ 4 Flats Per Floor  ✅ Close to Phoenix Mall of the Millennium  Enquire now to book your dream home today! 0:00 / 0:00 WWW.RAJVEERGARIMA.COM Premium 2&amp;3 BHKs starts from 1.18CR* (All.Inc) 90+ larger-than-life amenities with Swimming Pool, Gym &amp; Club House</t>
        </is>
      </c>
      <c r="M33" s="7" t="inlineStr">
        <is>
          <t>https://www.facebook.com/ads/library/?id=1213819523452091</t>
        </is>
      </c>
    </row>
    <row r="34">
      <c r="A34" s="5" t="n">
        <v>13</v>
      </c>
      <c r="B34" s="5" t="inlineStr">
        <is>
          <t>Sukhwani Skylines</t>
        </is>
      </c>
      <c r="C34" s="5" t="inlineStr">
        <is>
          <t>Real Estate Developer (Location-Piggyback)</t>
        </is>
      </c>
      <c r="D34" s="5" t="inlineStr">
        <is>
          <t>Phoenix Mall of the Millennium Wakad</t>
        </is>
      </c>
      <c r="E34" s="5" t="inlineStr">
        <is>
          <t>Pune</t>
        </is>
      </c>
      <c r="F34" s="5" t="inlineStr">
        <is>
          <t>LIVE</t>
        </is>
      </c>
      <c r="G34" s="5" t="inlineStr">
        <is>
          <t>15 Jan 2026</t>
        </is>
      </c>
      <c r="H34" s="5" t="n">
        <v>230</v>
      </c>
      <c r="I34" s="5" t="inlineStr">
        <is>
          <t>Evergreen Winner (90d+)</t>
        </is>
      </c>
      <c r="J34" s="5" t="inlineStr">
        <is>
          <t>Learn More</t>
        </is>
      </c>
      <c r="K34" s="6" t="inlineStr">
        <is>
          <t>Homes Ready.</t>
        </is>
      </c>
      <c r="L34" s="6" t="inlineStr">
        <is>
          <t>Homes Ready. Savings Ready. Experiences Ready. Last few units left!   Move in today to 2 or 3 BHK homes at Sukhwani Skylines and pay nothing extra - No GST, No Rent,  No Pre-EMI  PROKIDS™ Homes  6-Acre Landmark Project 5 Levels of Amenities 40,000+ sq. ft. Central Amenity Space  Exclusive Amenity Tower 2 mins from Phoenix Mall of Millennium  Only 500m from Bhumkar Chowk  Enquire Now! 0:00 / 0:44 ​ Active</t>
        </is>
      </c>
      <c r="M34" s="5" t="inlineStr">
        <is>
          <t>https://www.facebook.com/ads/library/?id=866089902869096</t>
        </is>
      </c>
    </row>
    <row r="35">
      <c r="A35" s="7" t="n">
        <v>14</v>
      </c>
      <c r="B35" s="7" t="inlineStr">
        <is>
          <t>Sukhwani Skylines</t>
        </is>
      </c>
      <c r="C35" s="7" t="inlineStr">
        <is>
          <t>Real Estate Developer (Location-Piggyback)</t>
        </is>
      </c>
      <c r="D35" s="7" t="inlineStr">
        <is>
          <t>Phoenix Mall of the Millennium Wakad</t>
        </is>
      </c>
      <c r="E35" s="7" t="inlineStr">
        <is>
          <t>Pune</t>
        </is>
      </c>
      <c r="F35" s="7" t="inlineStr">
        <is>
          <t>LIVE</t>
        </is>
      </c>
      <c r="G35" s="7" t="inlineStr">
        <is>
          <t>15 Jan 2026</t>
        </is>
      </c>
      <c r="H35" s="7" t="n">
        <v>230</v>
      </c>
      <c r="I35" s="7" t="inlineStr">
        <is>
          <t>Evergreen Winner (90d+)</t>
        </is>
      </c>
      <c r="J35" s="7" t="inlineStr">
        <is>
          <t>Learn More</t>
        </is>
      </c>
      <c r="K35" s="8" t="inlineStr">
        <is>
          <t>Homes Ready.</t>
        </is>
      </c>
      <c r="L35" s="8" t="inlineStr">
        <is>
          <t>Homes Ready. Savings Ready. Experiences Ready. Last few units left!   Move in today to 2 or 3 BHK homes at Sukhwani Skylines and pay nothing extra - No GST, No Rent,  No Pre-EMI  PROKIDS™ Homes  6-Acre Landmark Project 5 Levels of Amenities 40,000+ sq. ft. Central Amenity Space  Exclusive Amenity Tower 2 mins from Phoenix Mall of Millennium  Only 500m from Bhumkar Chowk  Enquire Now! 0:00 / 0:20 ​ Active</t>
        </is>
      </c>
      <c r="M35" s="7" t="inlineStr">
        <is>
          <t>https://www.facebook.com/ads/library/?id=866503622660140</t>
        </is>
      </c>
    </row>
    <row r="36">
      <c r="A36" s="5" t="n">
        <v>15</v>
      </c>
      <c r="B36" s="5" t="inlineStr">
        <is>
          <t>Paashh</t>
        </is>
      </c>
      <c r="C36" s="5" t="inlineStr">
        <is>
          <t>Other Advertiser (Event / Service / Direct-to-Consumer)</t>
        </is>
      </c>
      <c r="D36" s="5" t="inlineStr">
        <is>
          <t>The Pavillion Pune</t>
        </is>
      </c>
      <c r="E36" s="5" t="inlineStr">
        <is>
          <t>Pune</t>
        </is>
      </c>
      <c r="F36" s="5" t="inlineStr">
        <is>
          <t>LIVE</t>
        </is>
      </c>
      <c r="G36" s="5" t="inlineStr">
        <is>
          <t>23 Jan 2026</t>
        </is>
      </c>
      <c r="H36" s="5" t="n">
        <v>222</v>
      </c>
      <c r="I36" s="5" t="inlineStr">
        <is>
          <t>Evergreen Winner (90d+)</t>
        </is>
      </c>
      <c r="J36" s="5" t="inlineStr">
        <is>
          <t>Learn More</t>
        </is>
      </c>
      <c r="K36" s="6" t="inlineStr">
        <is>
          <t>✨ Where sustainability meets serenity.</t>
        </is>
      </c>
      <c r="L36" s="6" t="inlineStr">
        <is>
          <t>✨ Where sustainability meets serenity. ✨  At Paashh, every detail is a dialogue between nature and nurture — a reminder to slow down, breathe deeply, and embrace a life rooted in mindfulness.  From organic meals to eco-conscious designs, find harmony in every choice you make.  📍 Visit Paashh Pune and let your journey begin, consciously. 0:00 / 0:34 INSTAGRAM.COM Paashh Visit Instagram profile ​ Active</t>
        </is>
      </c>
      <c r="M36" s="5" t="inlineStr">
        <is>
          <t>https://www.facebook.com/ads/library/?id=904901132005306</t>
        </is>
      </c>
    </row>
    <row r="37">
      <c r="A37" s="7" t="n">
        <v>16</v>
      </c>
      <c r="B37" s="7" t="inlineStr">
        <is>
          <t>Prestige Property Hub</t>
        </is>
      </c>
      <c r="C37" s="7" t="inlineStr">
        <is>
          <t>Real Estate Developer (Location-Piggyback)</t>
        </is>
      </c>
      <c r="D37" s="7" t="inlineStr">
        <is>
          <t>The Pavillion Pune</t>
        </is>
      </c>
      <c r="E37" s="7" t="inlineStr">
        <is>
          <t>Pune</t>
        </is>
      </c>
      <c r="F37" s="7" t="inlineStr">
        <is>
          <t>off</t>
        </is>
      </c>
      <c r="G37" s="7" t="inlineStr">
        <is>
          <t>19 Feb 2026</t>
        </is>
      </c>
      <c r="H37" s="7" t="n">
        <v>195</v>
      </c>
      <c r="I37" s="7" t="inlineStr">
        <is>
          <t>Evergreen Winner (90d+)</t>
        </is>
      </c>
      <c r="J37" s="7" t="inlineStr">
        <is>
          <t>Learn More</t>
        </is>
      </c>
      <c r="K37" s="8" t="inlineStr">
        <is>
          <t>📍 𝐋𝐨𝐜𝐚𝐭𝐢𝐨𝐧:  𝐓𝐚𝐭𝐡𝐚𝐰𝐚𝐝𝐞 ( 𝐏𝐮𝐧𝐞 )   𝐒𝐩𝐚𝐜𝐢𝐨𝐮𝐬 𝟐, 𝟑 &amp; 𝟒 𝐁𝐇𝐊 𝟴𝟱 𝐋𝐚𝐜𝐬 𝐎𝐧𝐰𝐚𝐫𝐝𝐬   ✨ 𝐏𝐫𝐨𝐣𝐞𝐜𝐭 𝐇𝐢𝐠𝐡𝐥𝐢𝐠𝐡𝐭𝐬   🍽️ Designer Modular Kit</t>
        </is>
      </c>
      <c r="L37" s="8" t="inlineStr">
        <is>
          <t>📍 𝐋𝐨𝐜𝐚𝐭𝐢𝐨𝐧:  𝐓𝐚𝐭𝐡𝐚𝐰𝐚𝐝𝐞 ( 𝐏𝐮𝐧𝐞 )   𝐒𝐩𝐚𝐜𝐢𝐨𝐮𝐬 𝟐, 𝟑 &amp; 𝟒 𝐁𝐇𝐊 𝟴𝟱 𝐋𝐚𝐜𝐬 𝐎𝐧𝐰𝐚𝐫𝐝𝐬   ✨ 𝐏𝐫𝐨𝐣𝐞𝐜𝐭 𝐇𝐢𝐠𝐡𝐥𝐢𝐠𝐡𝐭𝐬   🍽️ Designer Modular Kitchen 🛏️🌇 Two Bedrooms with Two Private Balconies 🛏️ Spacious Bedroom – 14'1" x 11'6" 🏋️‍♂️🏊‍♀️ 40+ Ultra-Modern Lifestyle Amenities 🏰 Palatial-Themed Residences with Grand Aesthetics 🌳 Balcony Flooring with Premium Wooden-Finish Tiles  𝗢𝗻𝗲 𝗢𝗳 𝗧𝗵𝗲 𝗕𝗶𝗴𝗴𝗲𝘀𝘁 𝗖𝗮𝗿𝗽𝗲𝘁 𝗔𝗿𝗲𝗮 𝗜𝗻 𝗡𝗲𝗶𝗴�</t>
        </is>
      </c>
      <c r="M37" s="7" t="inlineStr">
        <is>
          <t>https://www.facebook.com/ads/library/?id=935807512310820</t>
        </is>
      </c>
    </row>
    <row r="38">
      <c r="A38" s="5" t="n">
        <v>17</v>
      </c>
      <c r="B38" s="5" t="inlineStr">
        <is>
          <t>thefoodierider_hyderabad with Banana Club</t>
        </is>
      </c>
      <c r="C38" s="5" t="inlineStr">
        <is>
          <t>Tenant / Retail Brand (Co-Op Candidate)</t>
        </is>
      </c>
      <c r="D38" s="5" t="inlineStr">
        <is>
          <t>Nexus Hyderabad Mall</t>
        </is>
      </c>
      <c r="E38" s="5" t="inlineStr">
        <is>
          <t>Hyderabad</t>
        </is>
      </c>
      <c r="F38" s="5" t="inlineStr">
        <is>
          <t>LIVE</t>
        </is>
      </c>
      <c r="G38" s="5" t="inlineStr">
        <is>
          <t>13 Mar 2026</t>
        </is>
      </c>
      <c r="H38" s="5" t="n">
        <v>173</v>
      </c>
      <c r="I38" s="5" t="inlineStr">
        <is>
          <t>Evergreen Winner (90d+)</t>
        </is>
      </c>
      <c r="J38" s="5" t="inlineStr">
        <is>
          <t>Learn More</t>
        </is>
      </c>
      <c r="K38" s="6" t="inlineStr">
        <is>
          <t>Festive shopping in Hyderabad?</t>
        </is>
      </c>
      <c r="L38" s="6" t="inlineStr">
        <is>
          <t>Festive shopping in Hyderabad? Here’s something worth checking out. ✨  Banana Club has launched a beautiful festive collection with stylish designer shirts, elegant kurtas, and embroidered pieces, perfect for festive dinners and celebrations.  The best part? Exciting festive offers are currently available in-store.  📍Hyderabad stores: Kukatpally – Vasavi Signature Kondapur – Sarath City Mall Banjara Hills – MPM Times Square Kukatpally – Lakeshore Mall Kukatpally – Opp. Nexus Mall  Which festive</t>
        </is>
      </c>
      <c r="M38" s="5" t="inlineStr">
        <is>
          <t>https://www.facebook.com/ads/library/?id=2017224679176371</t>
        </is>
      </c>
    </row>
    <row r="39">
      <c r="A39" s="7" t="n">
        <v>18</v>
      </c>
      <c r="B39" s="7" t="inlineStr">
        <is>
          <t>piyushanney with Banana Club</t>
        </is>
      </c>
      <c r="C39" s="7" t="inlineStr">
        <is>
          <t>Other Advertiser (Event / Service / Direct-to-Consumer)</t>
        </is>
      </c>
      <c r="D39" s="7" t="inlineStr">
        <is>
          <t>Sarath City Capital Mall</t>
        </is>
      </c>
      <c r="E39" s="7" t="inlineStr">
        <is>
          <t>Hyderabad</t>
        </is>
      </c>
      <c r="F39" s="7" t="inlineStr">
        <is>
          <t>LIVE</t>
        </is>
      </c>
      <c r="G39" s="7" t="inlineStr">
        <is>
          <t>13 Mar 2026</t>
        </is>
      </c>
      <c r="H39" s="7" t="n">
        <v>173</v>
      </c>
      <c r="I39" s="7" t="inlineStr">
        <is>
          <t>Evergreen Winner (90d+)</t>
        </is>
      </c>
      <c r="J39" s="7" t="inlineStr">
        <is>
          <t>Learn More</t>
        </is>
      </c>
      <c r="K39" s="8" t="inlineStr">
        <is>
          <t>Step into the festive season with Banana Club.</t>
        </is>
      </c>
      <c r="L39" s="8" t="inlineStr">
        <is>
          <t>Step into the festive season with Banana Club. Now open across Hyderabad at: • Kukatpally (Vasavi Signature) • Sarath City Capital Mall, Kondapur • Banjara Hills (MPM Timesquare Mall) • Lake Shore Mall, Kukatpally . . . #bananaclub #bananaclubstores #hyderabad #ugadi #ramzan 0:00 / 0:23 ​ Active</t>
        </is>
      </c>
      <c r="M39" s="7" t="inlineStr">
        <is>
          <t>https://www.facebook.com/ads/library/?id=1373124541287096</t>
        </is>
      </c>
    </row>
    <row r="40">
      <c r="A40" s="5" t="n">
        <v>19</v>
      </c>
      <c r="B40" s="5" t="inlineStr">
        <is>
          <t>The hungry Indians with Banana Club</t>
        </is>
      </c>
      <c r="C40" s="5" t="inlineStr">
        <is>
          <t>Other Advertiser (Event / Service / Direct-to-Consumer)</t>
        </is>
      </c>
      <c r="D40" s="5" t="inlineStr">
        <is>
          <t>Sarath City Capital Mall</t>
        </is>
      </c>
      <c r="E40" s="5" t="inlineStr">
        <is>
          <t>Hyderabad</t>
        </is>
      </c>
      <c r="F40" s="5" t="inlineStr">
        <is>
          <t>LIVE</t>
        </is>
      </c>
      <c r="G40" s="5" t="inlineStr">
        <is>
          <t>16 Mar 2026</t>
        </is>
      </c>
      <c r="H40" s="5" t="n">
        <v>170</v>
      </c>
      <c r="I40" s="5" t="inlineStr">
        <is>
          <t>Evergreen Winner (90d+)</t>
        </is>
      </c>
      <c r="J40" s="5" t="inlineStr">
        <is>
          <t>Learn More</t>
        </is>
      </c>
      <c r="K40" s="6" t="inlineStr">
        <is>
          <t xml:space="preserve">Celebrate the festive season in style with Banana Club 💯   Now welcoming you across Hyderabad at: </t>
        </is>
      </c>
      <c r="L40" s="6" t="inlineStr">
        <is>
          <t>Celebrate the festive season in style with Banana Club 💯   Now welcoming you across Hyderabad at: • Kukatpally – Vasavi Signature • Sarath City Capital Mall, Kondapur • Banjara Hills – MPM Timesquare Mall • Lake Shore Mall, Kukatpally  #thehungryindians #bananaclub #bananaclubstore #festive #hyderabad 0:00 / 0:48 BANANACLUB.CO.IN The hungry Indians</t>
        </is>
      </c>
      <c r="M40" s="5" t="inlineStr">
        <is>
          <t>https://www.facebook.com/ads/library/?id=1404144238127984</t>
        </is>
      </c>
    </row>
    <row r="41">
      <c r="A41" s="7" t="n">
        <v>20</v>
      </c>
      <c r="B41" s="7" t="inlineStr">
        <is>
          <t>Hyderabadbucketlist with Banana Club</t>
        </is>
      </c>
      <c r="C41" s="7" t="inlineStr">
        <is>
          <t>Other Advertiser (Event / Service / Direct-to-Consumer)</t>
        </is>
      </c>
      <c r="D41" s="7" t="inlineStr">
        <is>
          <t>Sarath City Capital Mall</t>
        </is>
      </c>
      <c r="E41" s="7" t="inlineStr">
        <is>
          <t>Hyderabad</t>
        </is>
      </c>
      <c r="F41" s="7" t="inlineStr">
        <is>
          <t>off</t>
        </is>
      </c>
      <c r="G41" s="7" t="inlineStr">
        <is>
          <t>16 Mar 2026</t>
        </is>
      </c>
      <c r="H41" s="7" t="n">
        <v>170</v>
      </c>
      <c r="I41" s="7" t="inlineStr">
        <is>
          <t>Evergreen Winner (90d+)</t>
        </is>
      </c>
      <c r="J41" s="7" t="inlineStr">
        <is>
          <t>Learn More</t>
        </is>
      </c>
      <c r="K41" s="8" t="inlineStr">
        <is>
          <t>Serving festive looks this season.</t>
        </is>
      </c>
      <c r="L41" s="8" t="inlineStr">
        <is>
          <t>Serving festive looks this season.   The Eid &amp; Ugadi drop at Banana Club is seriously clean.  Sharp silhouettes. Detailed embroidery. Festive fits done right.  Discover Banana Club across Hyderabad at: * Kukatpally – Vasavi Signature * Kondapur – Sarath City Capital Mall * Banjara Hills – MPM Timesquare Mall * Kukatpally – Lake Shore Mall  #bananaclub #bananaclubstores #hyderabad #festive #ugadi  ramzan 0:00 / 0:30 ​ Inactive</t>
        </is>
      </c>
      <c r="M41" s="7" t="inlineStr">
        <is>
          <t>https://www.facebook.com/ads/library/?id=2138918583524523</t>
        </is>
      </c>
    </row>
    <row r="42">
      <c r="A42" s="5" t="n">
        <v>21</v>
      </c>
      <c r="B42" s="5" t="inlineStr">
        <is>
          <t>Hyderabadifoodtravel with Banana Club</t>
        </is>
      </c>
      <c r="C42" s="5" t="inlineStr">
        <is>
          <t>Other Advertiser (Event / Service / Direct-to-Consumer)</t>
        </is>
      </c>
      <c r="D42" s="5" t="inlineStr">
        <is>
          <t>Sarath City Capital Mall</t>
        </is>
      </c>
      <c r="E42" s="5" t="inlineStr">
        <is>
          <t>Hyderabad</t>
        </is>
      </c>
      <c r="F42" s="5" t="inlineStr">
        <is>
          <t>LIVE</t>
        </is>
      </c>
      <c r="G42" s="5" t="inlineStr">
        <is>
          <t>16 Mar 2026</t>
        </is>
      </c>
      <c r="H42" s="5" t="n">
        <v>170</v>
      </c>
      <c r="I42" s="5" t="inlineStr">
        <is>
          <t>Evergreen Winner (90d+)</t>
        </is>
      </c>
      <c r="J42" s="5" t="inlineStr">
        <is>
          <t>Learn More</t>
        </is>
      </c>
      <c r="K42" s="6" t="inlineStr">
        <is>
          <t>Festive moments deserve exceptional style.</t>
        </is>
      </c>
      <c r="L42" s="6" t="inlineStr">
        <is>
          <t>Festive moments deserve exceptional style. Discover Banana Club across Hyderabad at: • Kukatpally – Vasavi Signature • Kondapur – Sarath City Capital Mall • Banjara Hills – MPM Timesquare Mall • Kukatpally – Lake Shore Mall  #bananaclub #bananaclubstores #hyderabad #festive #ugadi ramzan 0:00 / 0:32 BANANACLUB.CO.IN Hyderabadifoodtravel</t>
        </is>
      </c>
      <c r="M42" s="5" t="inlineStr">
        <is>
          <t>https://www.facebook.com/ads/library/?id=1608990023745781</t>
        </is>
      </c>
    </row>
    <row r="43">
      <c r="A43" s="7" t="n">
        <v>22</v>
      </c>
      <c r="B43" s="7" t="inlineStr">
        <is>
          <t>Sukhwani Skylines</t>
        </is>
      </c>
      <c r="C43" s="7" t="inlineStr">
        <is>
          <t>Real Estate Developer (Location-Piggyback)</t>
        </is>
      </c>
      <c r="D43" s="7" t="inlineStr">
        <is>
          <t>Phoenix Mall of the Millennium Wakad</t>
        </is>
      </c>
      <c r="E43" s="7" t="inlineStr">
        <is>
          <t>Pune</t>
        </is>
      </c>
      <c r="F43" s="7" t="inlineStr">
        <is>
          <t>LIVE</t>
        </is>
      </c>
      <c r="G43" s="7" t="inlineStr">
        <is>
          <t>24 Mar 2026</t>
        </is>
      </c>
      <c r="H43" s="7" t="n">
        <v>162</v>
      </c>
      <c r="I43" s="7" t="inlineStr">
        <is>
          <t>Evergreen Winner (90d+)</t>
        </is>
      </c>
      <c r="J43" s="7" t="inlineStr">
        <is>
          <t>Learn More</t>
        </is>
      </c>
      <c r="K43" s="8" t="inlineStr">
        <is>
          <t>Why wait for years?</t>
        </is>
      </c>
      <c r="L43" s="8"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0:20 ​ Active</t>
        </is>
      </c>
      <c r="M43" s="7" t="inlineStr">
        <is>
          <t>https://www.facebook.com/ads/library/?id=1300793361944573</t>
        </is>
      </c>
    </row>
    <row r="44">
      <c r="A44" s="5" t="n">
        <v>23</v>
      </c>
      <c r="B44" s="5" t="inlineStr">
        <is>
          <t>Sukhwani Skylines</t>
        </is>
      </c>
      <c r="C44" s="5" t="inlineStr">
        <is>
          <t>Real Estate Developer (Location-Piggyback)</t>
        </is>
      </c>
      <c r="D44" s="5" t="inlineStr">
        <is>
          <t>Phoenix Mall of the Millennium Wakad</t>
        </is>
      </c>
      <c r="E44" s="5" t="inlineStr">
        <is>
          <t>Pune</t>
        </is>
      </c>
      <c r="F44" s="5" t="inlineStr">
        <is>
          <t>LIVE</t>
        </is>
      </c>
      <c r="G44" s="5" t="inlineStr">
        <is>
          <t>24 Mar 2026</t>
        </is>
      </c>
      <c r="H44" s="5" t="n">
        <v>162</v>
      </c>
      <c r="I44" s="5" t="inlineStr">
        <is>
          <t>Evergreen Winner (90d+)</t>
        </is>
      </c>
      <c r="J44" s="5" t="inlineStr">
        <is>
          <t>Learn More</t>
        </is>
      </c>
      <c r="K44" s="6" t="inlineStr">
        <is>
          <t>Why wait for years?</t>
        </is>
      </c>
      <c r="L44" s="6"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 Active</t>
        </is>
      </c>
      <c r="M44" s="5" t="inlineStr">
        <is>
          <t>https://www.facebook.com/ads/library/?id=1608037496903011</t>
        </is>
      </c>
    </row>
    <row r="45">
      <c r="A45" s="7" t="n">
        <v>24</v>
      </c>
      <c r="B45" s="7" t="inlineStr">
        <is>
          <t>Sukhwani Skylines</t>
        </is>
      </c>
      <c r="C45" s="7" t="inlineStr">
        <is>
          <t>Real Estate Developer (Location-Piggyback)</t>
        </is>
      </c>
      <c r="D45" s="7" t="inlineStr">
        <is>
          <t>Phoenix Mall of the Millennium Wakad</t>
        </is>
      </c>
      <c r="E45" s="7" t="inlineStr">
        <is>
          <t>Pune</t>
        </is>
      </c>
      <c r="F45" s="7" t="inlineStr">
        <is>
          <t>LIVE</t>
        </is>
      </c>
      <c r="G45" s="7" t="inlineStr">
        <is>
          <t>24 Mar 2026</t>
        </is>
      </c>
      <c r="H45" s="7" t="n">
        <v>162</v>
      </c>
      <c r="I45" s="7" t="inlineStr">
        <is>
          <t>Evergreen Winner (90d+)</t>
        </is>
      </c>
      <c r="J45" s="7" t="inlineStr">
        <is>
          <t>Learn More</t>
        </is>
      </c>
      <c r="K45" s="8" t="inlineStr">
        <is>
          <t>Why wait for years?</t>
        </is>
      </c>
      <c r="L45" s="8"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0:18 ​ Active</t>
        </is>
      </c>
      <c r="M45" s="7" t="inlineStr">
        <is>
          <t>https://www.facebook.com/ads/library/?id=1514304760035992</t>
        </is>
      </c>
    </row>
    <row r="46">
      <c r="A46" s="5" t="n">
        <v>25</v>
      </c>
      <c r="B46" s="5" t="inlineStr">
        <is>
          <t>Sukhwani Skylines</t>
        </is>
      </c>
      <c r="C46" s="5" t="inlineStr">
        <is>
          <t>Real Estate Developer (Location-Piggyback)</t>
        </is>
      </c>
      <c r="D46" s="5" t="inlineStr">
        <is>
          <t>Phoenix Mall of the Millennium Wakad</t>
        </is>
      </c>
      <c r="E46" s="5" t="inlineStr">
        <is>
          <t>Pune</t>
        </is>
      </c>
      <c r="F46" s="5" t="inlineStr">
        <is>
          <t>LIVE</t>
        </is>
      </c>
      <c r="G46" s="5" t="inlineStr">
        <is>
          <t>24 Mar 2026</t>
        </is>
      </c>
      <c r="H46" s="5" t="n">
        <v>162</v>
      </c>
      <c r="I46" s="5" t="inlineStr">
        <is>
          <t>Evergreen Winner (90d+)</t>
        </is>
      </c>
      <c r="J46" s="5" t="inlineStr">
        <is>
          <t>Learn More</t>
        </is>
      </c>
      <c r="K46" s="6" t="inlineStr">
        <is>
          <t>Why wait for years?</t>
        </is>
      </c>
      <c r="L46" s="6"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 Active</t>
        </is>
      </c>
      <c r="M46" s="5" t="inlineStr">
        <is>
          <t>https://www.facebook.com/ads/library/?id=1556107408815007</t>
        </is>
      </c>
    </row>
    <row r="47">
      <c r="A47" s="7" t="n">
        <v>26</v>
      </c>
      <c r="B47" s="7" t="inlineStr">
        <is>
          <t>Sukhwani Skylines</t>
        </is>
      </c>
      <c r="C47" s="7" t="inlineStr">
        <is>
          <t>Real Estate Developer (Location-Piggyback)</t>
        </is>
      </c>
      <c r="D47" s="7" t="inlineStr">
        <is>
          <t>Phoenix Mall of the Millennium Wakad</t>
        </is>
      </c>
      <c r="E47" s="7" t="inlineStr">
        <is>
          <t>Pune</t>
        </is>
      </c>
      <c r="F47" s="7" t="inlineStr">
        <is>
          <t>LIVE</t>
        </is>
      </c>
      <c r="G47" s="7" t="inlineStr">
        <is>
          <t>24 Mar 2026</t>
        </is>
      </c>
      <c r="H47" s="7" t="n">
        <v>162</v>
      </c>
      <c r="I47" s="7" t="inlineStr">
        <is>
          <t>Evergreen Winner (90d+)</t>
        </is>
      </c>
      <c r="J47" s="7" t="inlineStr">
        <is>
          <t>Learn More</t>
        </is>
      </c>
      <c r="K47" s="8" t="inlineStr">
        <is>
          <t>Why wait for years?</t>
        </is>
      </c>
      <c r="L47" s="8"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0:46 ​ Active</t>
        </is>
      </c>
      <c r="M47" s="7" t="inlineStr">
        <is>
          <t>https://www.facebook.com/ads/library/?id=2133471460743934</t>
        </is>
      </c>
    </row>
    <row r="48">
      <c r="A48" s="5" t="n">
        <v>27</v>
      </c>
      <c r="B48" s="5" t="inlineStr">
        <is>
          <t>Sukhwani Skylines</t>
        </is>
      </c>
      <c r="C48" s="5" t="inlineStr">
        <is>
          <t>Real Estate Developer (Location-Piggyback)</t>
        </is>
      </c>
      <c r="D48" s="5" t="inlineStr">
        <is>
          <t>Phoenix Mall of the Millennium Wakad</t>
        </is>
      </c>
      <c r="E48" s="5" t="inlineStr">
        <is>
          <t>Pune</t>
        </is>
      </c>
      <c r="F48" s="5" t="inlineStr">
        <is>
          <t>LIVE</t>
        </is>
      </c>
      <c r="G48" s="5" t="inlineStr">
        <is>
          <t>24 Mar 2026</t>
        </is>
      </c>
      <c r="H48" s="5" t="n">
        <v>162</v>
      </c>
      <c r="I48" s="5" t="inlineStr">
        <is>
          <t>Evergreen Winner (90d+)</t>
        </is>
      </c>
      <c r="J48" s="5" t="inlineStr">
        <is>
          <t>Learn More</t>
        </is>
      </c>
      <c r="K48" s="6" t="inlineStr">
        <is>
          <t>Why wait for years?</t>
        </is>
      </c>
      <c r="L48" s="6"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0:54 ​ Active</t>
        </is>
      </c>
      <c r="M48" s="5" t="inlineStr">
        <is>
          <t>https://www.facebook.com/ads/library/?id=975685411791476</t>
        </is>
      </c>
    </row>
    <row r="49">
      <c r="A49" s="7" t="n">
        <v>28</v>
      </c>
      <c r="B49" s="7" t="inlineStr">
        <is>
          <t>Sukhwani Skylines</t>
        </is>
      </c>
      <c r="C49" s="7" t="inlineStr">
        <is>
          <t>Real Estate Developer (Location-Piggyback)</t>
        </is>
      </c>
      <c r="D49" s="7" t="inlineStr">
        <is>
          <t>Phoenix Mall of the Millennium Wakad</t>
        </is>
      </c>
      <c r="E49" s="7" t="inlineStr">
        <is>
          <t>Pune</t>
        </is>
      </c>
      <c r="F49" s="7" t="inlineStr">
        <is>
          <t>LIVE</t>
        </is>
      </c>
      <c r="G49" s="7" t="inlineStr">
        <is>
          <t>25 Mar 2026</t>
        </is>
      </c>
      <c r="H49" s="7" t="n">
        <v>161</v>
      </c>
      <c r="I49" s="7" t="inlineStr">
        <is>
          <t>Evergreen Winner (90d+)</t>
        </is>
      </c>
      <c r="J49" s="7" t="inlineStr">
        <is>
          <t>Learn More</t>
        </is>
      </c>
      <c r="K49" s="8" t="inlineStr">
        <is>
          <t>Why wait for years?</t>
        </is>
      </c>
      <c r="L49" s="8"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1:07 ​ Active</t>
        </is>
      </c>
      <c r="M49" s="7" t="inlineStr">
        <is>
          <t>https://www.facebook.com/ads/library/?id=1280668944011477</t>
        </is>
      </c>
    </row>
    <row r="50">
      <c r="A50" s="5" t="n">
        <v>29</v>
      </c>
      <c r="B50" s="5" t="inlineStr">
        <is>
          <t>57 Elevate</t>
        </is>
      </c>
      <c r="C50" s="5" t="inlineStr">
        <is>
          <t>Real Estate Developer (Location-Piggyback)</t>
        </is>
      </c>
      <c r="D50" s="5" t="inlineStr">
        <is>
          <t>Phoenix Mall of the Millennium Wakad</t>
        </is>
      </c>
      <c r="E50" s="5" t="inlineStr">
        <is>
          <t>Pune</t>
        </is>
      </c>
      <c r="F50" s="5" t="inlineStr">
        <is>
          <t>LIVE</t>
        </is>
      </c>
      <c r="G50" s="5" t="inlineStr">
        <is>
          <t>13 Apr 2026</t>
        </is>
      </c>
      <c r="H50" s="5" t="n">
        <v>142</v>
      </c>
      <c r="I50" s="5" t="inlineStr">
        <is>
          <t>Evergreen Winner (90d+)</t>
        </is>
      </c>
      <c r="J50" s="5" t="inlineStr">
        <is>
          <t>Learn More</t>
        </is>
      </c>
      <c r="K50" s="6" t="inlineStr">
        <is>
          <t>Discover sky-high living in Central Wakad with 2 &amp; 3 Bed Sky Residences from ₹ 99L (All Incl.) Next to Phoenix Mall of t</t>
        </is>
      </c>
      <c r="L50" s="6"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0:00 / 0:30 ​ Active</t>
        </is>
      </c>
      <c r="M50" s="5" t="inlineStr">
        <is>
          <t>https://www.facebook.com/ads/library/?id=1694653181529282</t>
        </is>
      </c>
    </row>
    <row r="51">
      <c r="A51" s="7" t="n">
        <v>30</v>
      </c>
      <c r="B51" s="7" t="inlineStr">
        <is>
          <t>57 Elevate</t>
        </is>
      </c>
      <c r="C51" s="7" t="inlineStr">
        <is>
          <t>Real Estate Developer (Location-Piggyback)</t>
        </is>
      </c>
      <c r="D51" s="7" t="inlineStr">
        <is>
          <t>Phoenix Mall of the Millennium Wakad</t>
        </is>
      </c>
      <c r="E51" s="7" t="inlineStr">
        <is>
          <t>Pune</t>
        </is>
      </c>
      <c r="F51" s="7" t="inlineStr">
        <is>
          <t>LIVE</t>
        </is>
      </c>
      <c r="G51" s="7" t="inlineStr">
        <is>
          <t>14 Apr 2026</t>
        </is>
      </c>
      <c r="H51" s="7" t="n">
        <v>141</v>
      </c>
      <c r="I51" s="7" t="inlineStr">
        <is>
          <t>Evergreen Winner (90d+)</t>
        </is>
      </c>
      <c r="J51" s="7" t="inlineStr">
        <is>
          <t>Learn More</t>
        </is>
      </c>
      <c r="K51" s="8" t="inlineStr">
        <is>
          <t>Discover sky-high living in Central Wakad with 2 &amp; 3 Bed Sky Residences from ₹ 99L (All Incl.) Next to Phoenix Mall of t</t>
        </is>
      </c>
      <c r="L51" s="8"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0:00 / 0:43 ​ Active</t>
        </is>
      </c>
      <c r="M51" s="7" t="inlineStr">
        <is>
          <t>https://www.facebook.com/ads/library/?id=944742388434679</t>
        </is>
      </c>
    </row>
    <row r="52">
      <c r="A52" s="5" t="n">
        <v>31</v>
      </c>
      <c r="B52" s="5" t="inlineStr">
        <is>
          <t>CabBazar</t>
        </is>
      </c>
      <c r="C52" s="5" t="inlineStr">
        <is>
          <t>Other Advertiser (Event / Service / Direct-to-Consumer)</t>
        </is>
      </c>
      <c r="D52" s="5" t="inlineStr">
        <is>
          <t>The Pavillion Pune</t>
        </is>
      </c>
      <c r="E52" s="5" t="inlineStr">
        <is>
          <t>Pune</t>
        </is>
      </c>
      <c r="F52" s="5" t="inlineStr">
        <is>
          <t>LIVE</t>
        </is>
      </c>
      <c r="G52" s="5" t="inlineStr">
        <is>
          <t>20 Apr 2026</t>
        </is>
      </c>
      <c r="H52" s="5" t="n">
        <v>135</v>
      </c>
      <c r="I52" s="5" t="inlineStr">
        <is>
          <t>Evergreen Winner (90d+)</t>
        </is>
      </c>
      <c r="J52" s="5" t="inlineStr">
        <is>
          <t>Book Now</t>
        </is>
      </c>
      <c r="K52" s="6" t="inlineStr">
        <is>
          <t>Book taxi for Shirdi.</t>
        </is>
      </c>
      <c r="L52" s="6" t="inlineStr">
        <is>
          <t>Book taxi for Shirdi. Round trip or one way drop at best price. CABBAZAR.COM CabBazar - Taxi for Shirdi Om Sai Ram!!</t>
        </is>
      </c>
      <c r="M52" s="5" t="inlineStr">
        <is>
          <t>https://www.facebook.com/ads/library/?id=2086386252094571</t>
        </is>
      </c>
    </row>
    <row r="53">
      <c r="A53" s="7" t="n">
        <v>32</v>
      </c>
      <c r="B53" s="7" t="inlineStr">
        <is>
          <t>Hiroko Sarah</t>
        </is>
      </c>
      <c r="C53" s="7" t="inlineStr">
        <is>
          <t>Tenant / Retail Brand (Co-Op Candidate)</t>
        </is>
      </c>
      <c r="D53" s="7" t="inlineStr">
        <is>
          <t>Phoenix Mall of the Millennium Wakad</t>
        </is>
      </c>
      <c r="E53" s="7" t="inlineStr">
        <is>
          <t>Pune</t>
        </is>
      </c>
      <c r="F53" s="7" t="inlineStr">
        <is>
          <t>LIVE</t>
        </is>
      </c>
      <c r="G53" s="7" t="inlineStr">
        <is>
          <t>21 Apr 2026</t>
        </is>
      </c>
      <c r="H53" s="7" t="n">
        <v>134</v>
      </c>
      <c r="I53" s="7" t="inlineStr">
        <is>
          <t>Evergreen Winner (90d+)</t>
        </is>
      </c>
      <c r="J53" s="7" t="inlineStr">
        <is>
          <t>Learn More</t>
        </is>
      </c>
      <c r="K53" s="8" t="inlineStr">
        <is>
          <t>India-Japan 🇮🇳🇯🇵 collabo duo @hiphopibex &amp; @hiroko.sarah performed at Grand Launch of The Tokidoki Summer Decor @tokidok</t>
        </is>
      </c>
      <c r="L53" s="8" t="inlineStr">
        <is>
          <t>India-Japan 🇮🇳🇯🇵 collabo duo @hiphopibex &amp; @hiroko.sarah performed at Grand Launch of The Tokidoki Summer Decor @tokidokibrand  📍 @phoenix_millennium  Special thanks to: Phoenix Mall of the Millennium team @cosplaymomindia &amp; Cosplayers Digital creators who featured us and Lovely Wakad audienace💖  #tokidokibrand #phoenixmallofthemillennium #Ibex #HirokoSarah #japaneseinindia 0:00 / 0:57 ​ Active</t>
        </is>
      </c>
      <c r="M53" s="7" t="inlineStr">
        <is>
          <t>https://www.facebook.com/ads/library/?id=26506470062385853</t>
        </is>
      </c>
    </row>
    <row r="54">
      <c r="A54" s="5" t="n">
        <v>33</v>
      </c>
      <c r="B54" s="5" t="inlineStr">
        <is>
          <t>Fatak Drama</t>
        </is>
      </c>
      <c r="C54" s="5" t="inlineStr">
        <is>
          <t>Other Advertiser (Event / Service / Direct-to-Consumer)</t>
        </is>
      </c>
      <c r="D54" s="5" t="inlineStr">
        <is>
          <t>The Pavillion Pune</t>
        </is>
      </c>
      <c r="E54" s="5" t="inlineStr">
        <is>
          <t>Pune</t>
        </is>
      </c>
      <c r="F54" s="5" t="inlineStr">
        <is>
          <t>LIVE</t>
        </is>
      </c>
      <c r="G54" s="5" t="inlineStr">
        <is>
          <t>24 Apr 2026</t>
        </is>
      </c>
      <c r="H54" s="5" t="n">
        <v>131</v>
      </c>
      <c r="I54" s="5" t="inlineStr">
        <is>
          <t>Evergreen Winner (90d+)</t>
        </is>
      </c>
      <c r="J54" s="5" t="inlineStr">
        <is>
          <t>Learn More</t>
        </is>
      </c>
      <c r="K54" s="6" t="inlineStr">
        <is>
          <t>Watch 'Mera Boss Mera Boyfriend' Only on DashReels App!</t>
        </is>
      </c>
      <c r="L54" s="6" t="inlineStr">
        <is>
          <t>Watch 'Mera Boss Mera Boyfriend' Only on DashReels App! 0:00 / 25:34 PLAY.GOOGLE.COM India's ONLY Short Drama App! Install now ​ Active</t>
        </is>
      </c>
      <c r="M54" s="5" t="inlineStr">
        <is>
          <t>https://www.facebook.com/ads/library/?id=1685108172905902</t>
        </is>
      </c>
    </row>
    <row r="55">
      <c r="A55" s="7" t="n">
        <v>34</v>
      </c>
      <c r="B55" s="7" t="inlineStr">
        <is>
          <t>Krishnapatnam</t>
        </is>
      </c>
      <c r="C55" s="7" t="inlineStr">
        <is>
          <t>Other Advertiser (Event / Service / Direct-to-Consumer)</t>
        </is>
      </c>
      <c r="D55" s="7" t="inlineStr">
        <is>
          <t>Sarath City Capital Mall</t>
        </is>
      </c>
      <c r="E55" s="7" t="inlineStr">
        <is>
          <t>Hyderabad</t>
        </is>
      </c>
      <c r="F55" s="7" t="inlineStr">
        <is>
          <t>LIVE</t>
        </is>
      </c>
      <c r="G55" s="7" t="inlineStr">
        <is>
          <t>24 Apr 2026</t>
        </is>
      </c>
      <c r="H55" s="7" t="n">
        <v>131</v>
      </c>
      <c r="I55" s="7" t="inlineStr">
        <is>
          <t>Evergreen Winner (90d+)</t>
        </is>
      </c>
      <c r="J55" s="7" t="inlineStr">
        <is>
          <t>Learn More</t>
        </is>
      </c>
      <c r="K55" s="8" t="inlineStr">
        <is>
          <t>This mango season, there’s a table waiting for you at Krishnapatnam.</t>
        </is>
      </c>
      <c r="L55" s="8" t="inlineStr">
        <is>
          <t>This mango season, there’s a table waiting for you at Krishnapatnam. From comforting classics to seasonal favourites, every bite is crafted to celebrate the flavours you love.  Every creation is thoughtfully prepared to offer a taste that feels both nostalgic and unforgettable.  Drop by and experience the Mango Festival.  🗓️: April 10th - June 10th  Our Branches: JUBLIEE HILLS: 9169695566 NEXUS MALL: 9169693344 AMB SARATH CITY CAPITAL MALL: 9117445566,9117667788 KOTHAPET: 917559778899,916913778</t>
        </is>
      </c>
      <c r="M55" s="7" t="inlineStr">
        <is>
          <t>https://www.facebook.com/ads/library/?id=954514527324094</t>
        </is>
      </c>
    </row>
    <row r="56">
      <c r="A56" s="5" t="n">
        <v>35</v>
      </c>
      <c r="B56" s="5" t="inlineStr">
        <is>
          <t>CURL It Unisex Salon</t>
        </is>
      </c>
      <c r="C56" s="5" t="inlineStr">
        <is>
          <t>Other Advertiser (Event / Service / Direct-to-Consumer)</t>
        </is>
      </c>
      <c r="D56" s="5" t="inlineStr">
        <is>
          <t>Phoenix Mall of the Millennium Wakad</t>
        </is>
      </c>
      <c r="E56" s="5" t="inlineStr">
        <is>
          <t>Pune</t>
        </is>
      </c>
      <c r="F56" s="5" t="inlineStr">
        <is>
          <t>LIVE</t>
        </is>
      </c>
      <c r="G56" s="5" t="inlineStr">
        <is>
          <t>4 May 2026</t>
        </is>
      </c>
      <c r="H56" s="5" t="n">
        <v>121</v>
      </c>
      <c r="I56" s="5" t="inlineStr">
        <is>
          <t>Evergreen Winner (90d+)</t>
        </is>
      </c>
      <c r="J56" s="5" t="inlineStr">
        <is>
          <t>Learn More</t>
        </is>
      </c>
      <c r="K56" s="6" t="inlineStr">
        <is>
          <t>Dull hair?</t>
        </is>
      </c>
      <c r="L56" s="6" t="inlineStr">
        <is>
          <t>Dull hair? Tired skin? Summer damage showing? ☀️ We’ve got you covered 💁‍♀️ Enjoy Flat 55% OFF on Hair &amp; Beauty services Book your slot now on WhatsApp 📲091722 08711 Location📍: Western Avenue, Shop No. 65, Opp. to phoenix mall of the millennium, Wakad #SalonOffers #HairOffer #BeautyOffer #Flat55Off #SalonDiscount #WakadSalon #PuneSalon #WakadPune #PuneOffers #NearMeSalon #HairSpa #FacialOffer #HairCutOffer #HairColorOffer #BeautyServices #HairTransformation 0:00 / 0:31 API.WHATSAPP.COM Flat 5</t>
        </is>
      </c>
      <c r="M56" s="5" t="inlineStr">
        <is>
          <t>https://www.facebook.com/ads/library/?id=3032598050272657</t>
        </is>
      </c>
    </row>
    <row r="57">
      <c r="A57" s="7" t="n">
        <v>36</v>
      </c>
      <c r="B57" s="7" t="inlineStr">
        <is>
          <t>CabBazar</t>
        </is>
      </c>
      <c r="C57" s="7" t="inlineStr">
        <is>
          <t>Other Advertiser (Event / Service / Direct-to-Consumer)</t>
        </is>
      </c>
      <c r="D57" s="7" t="inlineStr">
        <is>
          <t>The Pavillion Pune</t>
        </is>
      </c>
      <c r="E57" s="7" t="inlineStr">
        <is>
          <t>Pune</t>
        </is>
      </c>
      <c r="F57" s="7" t="inlineStr">
        <is>
          <t>LIVE</t>
        </is>
      </c>
      <c r="G57" s="7" t="inlineStr">
        <is>
          <t>6 May 2026</t>
        </is>
      </c>
      <c r="H57" s="7" t="n">
        <v>119</v>
      </c>
      <c r="I57" s="7" t="inlineStr">
        <is>
          <t>Evergreen Winner (90d+)</t>
        </is>
      </c>
      <c r="J57" s="7" t="inlineStr">
        <is>
          <t>Book Now</t>
        </is>
      </c>
      <c r="K57" s="8" t="inlineStr">
        <is>
          <t>Summer travel is at its peak and cabs are filling up FAST!</t>
        </is>
      </c>
      <c r="L57" s="8" t="inlineStr">
        <is>
          <t>Summer travel is at its peak and cabs are filling up FAST! 🚨 Don't wait until it's too late — book your outstation cab with CabBazar today and travel stress-free. No hidden charges. No return fare. Just honest pricing and a comfortable ride to your dream destination. Limited cabs available this season!  👉</t>
        </is>
      </c>
      <c r="M57" s="7" t="inlineStr">
        <is>
          <t>https://www.facebook.com/ads/library/?id=26410657145223787</t>
        </is>
      </c>
    </row>
    <row r="58">
      <c r="A58" s="5" t="n">
        <v>37</v>
      </c>
      <c r="B58" s="5" t="inlineStr">
        <is>
          <t>Phantom Healthcare IND Private Limited</t>
        </is>
      </c>
      <c r="C58" s="5" t="inlineStr">
        <is>
          <t>Other Advertiser (Event / Service / Direct-to-Consumer)</t>
        </is>
      </c>
      <c r="D58" s="5" t="inlineStr">
        <is>
          <t>The Pavillion Pune</t>
        </is>
      </c>
      <c r="E58" s="5" t="inlineStr">
        <is>
          <t>Pune</t>
        </is>
      </c>
      <c r="F58" s="5" t="inlineStr">
        <is>
          <t>off</t>
        </is>
      </c>
      <c r="G58" s="5" t="inlineStr">
        <is>
          <t>6 May 2026</t>
        </is>
      </c>
      <c r="H58" s="5" t="n">
        <v>119</v>
      </c>
      <c r="I58" s="5" t="inlineStr">
        <is>
          <t>Evergreen Winner (90d+)</t>
        </is>
      </c>
      <c r="J58" s="5" t="inlineStr">
        <is>
          <t>Learn More</t>
        </is>
      </c>
      <c r="K58" s="6" t="inlineStr">
        <is>
          <t xml:space="preserve">Service and Maintenance Packages (CMC &amp; AMC) for Radiology Equipments - MRI, CT Scanners, PET-CT, Gamma Camera (SPECT / </t>
        </is>
      </c>
      <c r="L58" s="6" t="inlineStr">
        <is>
          <t>Service and Maintenance Packages (CMC &amp; AMC) for Radiology Equipments - MRI, CT Scanners, PET-CT, Gamma Camera (SPECT / SPECT-CT) , Cath Lab, and DEXA (Bone Densitometer) PHANTOMHEALTHCARE.COM Service, Repairs, Upgrades, Spare Parts for MRI, CT Scanners, PET-CT, Gamma Camera (SPECT / SPECT-CT) , Cath Lab, and DEXA (Bone Densitometer) Phantom Healthcare provides Service and Maintenance Packages (CMC &amp; AMC) for your radiology equipment, as well as repairs, upgrades and spare parts for your medical</t>
        </is>
      </c>
      <c r="M58" s="5" t="inlineStr">
        <is>
          <t>https://www.facebook.com/ads/library/?id=947884334724379</t>
        </is>
      </c>
    </row>
    <row r="59">
      <c r="A59" s="7" t="n">
        <v>38</v>
      </c>
      <c r="B59" s="7" t="inlineStr">
        <is>
          <t>Krishnapatnam</t>
        </is>
      </c>
      <c r="C59" s="7" t="inlineStr">
        <is>
          <t>Other Advertiser (Event / Service / Direct-to-Consumer)</t>
        </is>
      </c>
      <c r="D59" s="7" t="inlineStr">
        <is>
          <t>Sarath City Capital Mall</t>
        </is>
      </c>
      <c r="E59" s="7" t="inlineStr">
        <is>
          <t>Hyderabad</t>
        </is>
      </c>
      <c r="F59" s="7" t="inlineStr">
        <is>
          <t>LIVE</t>
        </is>
      </c>
      <c r="G59" s="7" t="inlineStr">
        <is>
          <t>6 May 2026</t>
        </is>
      </c>
      <c r="H59" s="7" t="n">
        <v>119</v>
      </c>
      <c r="I59" s="7" t="inlineStr">
        <is>
          <t>Evergreen Winner (90d+)</t>
        </is>
      </c>
      <c r="J59" s="7" t="inlineStr">
        <is>
          <t>Learn More</t>
        </is>
      </c>
      <c r="K59" s="8" t="inlineStr">
        <is>
          <t>The vibe at Krishnapatnam is rich with Telugu soul and modern warmth.From the glow of the lights to the rhythm of the ba</t>
        </is>
      </c>
      <c r="L59" s="8" t="inlineStr">
        <is>
          <t>The vibe at Krishnapatnam is rich with Telugu soul and modern warmth.From the glow of the lights to the rhythm of the bar, everything feels alive.It’s where good food, great drinks, and better conversations come together.  Our Branches: JUBLIEE HILLS: 9169695566 NEXUS MALL: 9169693344 AMB SARATH CITY CAPITAL MALL: 9117445566,9117667788 KOTHAPET: 917559778899,916913778899 . . . . . #krishnapatnam #vibe #authentickitchenandbar #southindianrestaurant #TeluguFlavours 0:00 / 0:29 INSTAGRAM.COM Krishn</t>
        </is>
      </c>
      <c r="M59" s="7" t="inlineStr">
        <is>
          <t>https://www.facebook.com/ads/library/?id=4515878092064814</t>
        </is>
      </c>
    </row>
    <row r="60">
      <c r="A60" s="5" t="n">
        <v>39</v>
      </c>
      <c r="B60" s="5" t="inlineStr">
        <is>
          <t>Kalyanam silks Pune</t>
        </is>
      </c>
      <c r="C60" s="5" t="inlineStr">
        <is>
          <t>Other Advertiser (Event / Service / Direct-to-Consumer)</t>
        </is>
      </c>
      <c r="D60" s="5" t="inlineStr">
        <is>
          <t>The Pavillion Pune</t>
        </is>
      </c>
      <c r="E60" s="5" t="inlineStr">
        <is>
          <t>Pune</t>
        </is>
      </c>
      <c r="F60" s="5" t="inlineStr">
        <is>
          <t>LIVE</t>
        </is>
      </c>
      <c r="G60" s="5" t="inlineStr">
        <is>
          <t>9 May 2026</t>
        </is>
      </c>
      <c r="H60" s="5" t="n">
        <v>116</v>
      </c>
      <c r="I60" s="5" t="inlineStr">
        <is>
          <t>Evergreen Winner (90d+)</t>
        </is>
      </c>
      <c r="J60" s="5" t="inlineStr">
        <is>
          <t>Learn More</t>
        </is>
      </c>
      <c r="K60" s="6" t="inlineStr">
        <is>
          <t>Culture of India…  Tradition cha royal touch… Elegance cha perfect match… Welcome to… THE HOUSE OF KANJIVARAM  —  Kalyan</t>
        </is>
      </c>
      <c r="L60" s="6" t="inlineStr">
        <is>
          <t>Culture of India…  Tradition cha royal touch… Elegance cha perfect match… Welcome to… THE HOUSE OF KANJIVARAM  —  Kalyanam Silk, Kumthekar Road, Pune. . Pratek saree madhe aahe ek royal story… India chya rich culture chi ek सुंदर ओळख… Perfect for weddings, festivals &amp; special moments  Upgrade your ethnic wardrobe today! Visit kara Kalyanam Silk, Kumthekar Road, Pune ani experience ghya true luxury of Indian culture  Not just a saree… it’s the Culture of India . #KalyanamSilks #KanjivaramSaree #B</t>
        </is>
      </c>
      <c r="M60" s="5" t="inlineStr">
        <is>
          <t>https://www.facebook.com/ads/library/?id=26797045203286137</t>
        </is>
      </c>
    </row>
    <row r="61">
      <c r="A61" s="7" t="n">
        <v>40</v>
      </c>
      <c r="B61" s="7" t="inlineStr">
        <is>
          <t>Rare Salon India</t>
        </is>
      </c>
      <c r="C61" s="7" t="inlineStr">
        <is>
          <t>Other Advertiser (Event / Service / Direct-to-Consumer)</t>
        </is>
      </c>
      <c r="D61" s="7" t="inlineStr">
        <is>
          <t>Sarath City Capital Mall</t>
        </is>
      </c>
      <c r="E61" s="7" t="inlineStr">
        <is>
          <t>Hyderabad</t>
        </is>
      </c>
      <c r="F61" s="7" t="inlineStr">
        <is>
          <t>LIVE</t>
        </is>
      </c>
      <c r="G61" s="7" t="inlineStr">
        <is>
          <t>14 May 2026</t>
        </is>
      </c>
      <c r="H61" s="7" t="n">
        <v>111</v>
      </c>
      <c r="I61" s="7" t="inlineStr">
        <is>
          <t>Evergreen Winner (90d+)</t>
        </is>
      </c>
      <c r="J61" s="7" t="inlineStr">
        <is>
          <t>Learn More</t>
        </is>
      </c>
      <c r="K61" s="8" t="inlineStr">
        <is>
          <t>Indulge in luxury hair care with exclusive savings ✨ Up to 50% off on all hair services at RARE 📍 Sarath City Capital Ma</t>
        </is>
      </c>
      <c r="L61" s="8" t="inlineStr">
        <is>
          <t>Indulge in luxury hair care with exclusive savings ✨ Up to 50% off on all hair services at RARE 📍 Sarath City Capital Mall, Kondapur 📞 9440642737 WHATSAPP Up to 50% Off on Hair Luxury Limited-time offer. T&amp;C apply. Send WhatsApp message ​ Active</t>
        </is>
      </c>
      <c r="M61" s="7" t="inlineStr">
        <is>
          <t>https://www.facebook.com/ads/library/?id=1287339320194106</t>
        </is>
      </c>
    </row>
    <row r="62">
      <c r="A62" s="5" t="n">
        <v>41</v>
      </c>
      <c r="B62" s="5" t="inlineStr">
        <is>
          <t>Ayuroma Ayurved Clinic</t>
        </is>
      </c>
      <c r="C62" s="5" t="inlineStr">
        <is>
          <t>Other Advertiser (Event / Service / Direct-to-Consumer)</t>
        </is>
      </c>
      <c r="D62" s="5" t="inlineStr">
        <is>
          <t>Phoenix Mall of the Millennium Wakad</t>
        </is>
      </c>
      <c r="E62" s="5" t="inlineStr">
        <is>
          <t>Pune</t>
        </is>
      </c>
      <c r="F62" s="5" t="inlineStr">
        <is>
          <t>LIVE</t>
        </is>
      </c>
      <c r="G62" s="5" t="inlineStr">
        <is>
          <t>21 May 2026</t>
        </is>
      </c>
      <c r="H62" s="5" t="n">
        <v>104</v>
      </c>
      <c r="I62" s="5" t="inlineStr">
        <is>
          <t>Evergreen Winner (90d+)</t>
        </is>
      </c>
      <c r="J62" s="5" t="inlineStr">
        <is>
          <t>Learn More</t>
        </is>
      </c>
      <c r="K62" s="6" t="inlineStr">
        <is>
          <t>“This Women’s Day, step into calmness and Ayurvedic rejuvenation at Ayuroma Clinic.”  Our specially curated wellness pac</t>
        </is>
      </c>
      <c r="L62" s="6" t="inlineStr">
        <is>
          <t>“This Women’s Day, step into calmness and Ayurvedic rejuvenation at Ayuroma Clinic.”  Our specially curated wellness packages are designed to relieve stress, improve circulation, and restore balance naturally.  🗓️6-15 March 2026 🏥-Ayuroma Clinic-Wakad. 📲9860779944  -Book your slot now. #womensday #ayurveda  #selfcare #punewellness  #womensdayoffer INSTAGRAM.COM Ayuroma Ayurved Clinic Visit Instagram profile ​ Active</t>
        </is>
      </c>
      <c r="M62" s="5" t="inlineStr">
        <is>
          <t>https://www.facebook.com/ads/library/?id=2168456707320891</t>
        </is>
      </c>
    </row>
    <row r="63">
      <c r="A63" s="7" t="n">
        <v>42</v>
      </c>
      <c r="B63" s="7" t="inlineStr">
        <is>
          <t>NoBroker.com</t>
        </is>
      </c>
      <c r="C63" s="7" t="inlineStr">
        <is>
          <t>Real Estate Developer (Location-Piggyback)</t>
        </is>
      </c>
      <c r="D63" s="7" t="inlineStr">
        <is>
          <t>The Pavillion Pune</t>
        </is>
      </c>
      <c r="E63" s="7" t="inlineStr">
        <is>
          <t>Pune</t>
        </is>
      </c>
      <c r="F63" s="7" t="inlineStr">
        <is>
          <t>LIVE</t>
        </is>
      </c>
      <c r="G63" s="7" t="inlineStr">
        <is>
          <t>21 May 2026</t>
        </is>
      </c>
      <c r="H63" s="7" t="n">
        <v>104</v>
      </c>
      <c r="I63" s="7" t="inlineStr">
        <is>
          <t>Evergreen Winner (90d+)</t>
        </is>
      </c>
      <c r="J63" s="7" t="inlineStr">
        <is>
          <t>Learn More</t>
        </is>
      </c>
      <c r="K63" s="8" t="inlineStr">
        <is>
          <t xml:space="preserve">1 BHK House for Rent  In Mundwafor₹15,000 PLAY.GOOGLE.COM 1 BHK House for Rent In Mundwafor₹15,000 1 BHK House for Rent </t>
        </is>
      </c>
      <c r="L63" s="8" t="inlineStr">
        <is>
          <t>1 BHK House for Rent  In Mundwafor₹15,000 PLAY.GOOGLE.COM 1 BHK House for Rent In Mundwafor₹15,000 1 BHK House for Rent In MundwaforThis spacious 1 BHK flat for rent in Mundwa for 15,000 is the perfect choice for families &amp; bachelors This East facing 650 sqft. home comes with a convenient space for parking of car. When you need garden, all you have to do is step out of the door as the apartment complex has what you are looking for. You are viewing the right home if you would prefer a house with</t>
        </is>
      </c>
      <c r="M63" s="7" t="inlineStr">
        <is>
          <t>https://www.facebook.com/ads/library/?id=1656300202156768</t>
        </is>
      </c>
    </row>
    <row r="64">
      <c r="A64" s="5" t="n">
        <v>43</v>
      </c>
      <c r="B64" s="5" t="inlineStr">
        <is>
          <t>57 Elevate</t>
        </is>
      </c>
      <c r="C64" s="5" t="inlineStr">
        <is>
          <t>Real Estate Developer (Location-Piggyback)</t>
        </is>
      </c>
      <c r="D64" s="5" t="inlineStr">
        <is>
          <t>Phoenix Mall of the Millennium Wakad</t>
        </is>
      </c>
      <c r="E64" s="5" t="inlineStr">
        <is>
          <t>Pune</t>
        </is>
      </c>
      <c r="F64" s="5" t="inlineStr">
        <is>
          <t>LIVE</t>
        </is>
      </c>
      <c r="G64" s="5" t="inlineStr">
        <is>
          <t>26 May 2026</t>
        </is>
      </c>
      <c r="H64" s="5" t="n">
        <v>99</v>
      </c>
      <c r="I64" s="5" t="inlineStr">
        <is>
          <t>Evergreen Winner (90d+)</t>
        </is>
      </c>
      <c r="J64" s="5" t="inlineStr">
        <is>
          <t>Learn More</t>
        </is>
      </c>
      <c r="K64" s="6" t="inlineStr">
        <is>
          <t>Discover sky-high living in Central Wakad with 2 &amp; 3 Bed Sky Residences from ₹ 99L (All Incl.) Next to Phoenix Mall of t</t>
        </is>
      </c>
      <c r="L64" s="6"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M64" s="5" t="inlineStr">
        <is>
          <t>https://www.facebook.com/ads/library/?id=1497903848477760</t>
        </is>
      </c>
    </row>
    <row r="65">
      <c r="A65" s="7" t="n">
        <v>44</v>
      </c>
      <c r="B65" s="7" t="inlineStr">
        <is>
          <t>57 Elevate</t>
        </is>
      </c>
      <c r="C65" s="7" t="inlineStr">
        <is>
          <t>Real Estate Developer (Location-Piggyback)</t>
        </is>
      </c>
      <c r="D65" s="7" t="inlineStr">
        <is>
          <t>Phoenix Mall of the Millennium Wakad</t>
        </is>
      </c>
      <c r="E65" s="7" t="inlineStr">
        <is>
          <t>Pune</t>
        </is>
      </c>
      <c r="F65" s="7" t="inlineStr">
        <is>
          <t>LIVE</t>
        </is>
      </c>
      <c r="G65" s="7" t="inlineStr">
        <is>
          <t>26 May 2026</t>
        </is>
      </c>
      <c r="H65" s="7" t="n">
        <v>99</v>
      </c>
      <c r="I65" s="7" t="inlineStr">
        <is>
          <t>Evergreen Winner (90d+)</t>
        </is>
      </c>
      <c r="J65" s="7" t="inlineStr">
        <is>
          <t>Learn More</t>
        </is>
      </c>
      <c r="K65" s="8" t="inlineStr">
        <is>
          <t>Discover sky-high living in Central Wakad with 2 &amp; 3 Bed Sky Residences from ₹ 99L (All Incl.) Next to Phoenix Mall of t</t>
        </is>
      </c>
      <c r="L65" s="8"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M65" s="7" t="inlineStr">
        <is>
          <t>https://www.facebook.com/ads/library/?id=4383972958480981</t>
        </is>
      </c>
    </row>
    <row r="66">
      <c r="A66" s="5" t="n">
        <v>45</v>
      </c>
      <c r="B66" s="5" t="inlineStr">
        <is>
          <t>57 Elevate</t>
        </is>
      </c>
      <c r="C66" s="5" t="inlineStr">
        <is>
          <t>Real Estate Developer (Location-Piggyback)</t>
        </is>
      </c>
      <c r="D66" s="5" t="inlineStr">
        <is>
          <t>Phoenix Mall of the Millennium Wakad</t>
        </is>
      </c>
      <c r="E66" s="5" t="inlineStr">
        <is>
          <t>Pune</t>
        </is>
      </c>
      <c r="F66" s="5" t="inlineStr">
        <is>
          <t>LIVE</t>
        </is>
      </c>
      <c r="G66" s="5" t="inlineStr">
        <is>
          <t>26 May 2026</t>
        </is>
      </c>
      <c r="H66" s="5" t="n">
        <v>99</v>
      </c>
      <c r="I66" s="5" t="inlineStr">
        <is>
          <t>Evergreen Winner (90d+)</t>
        </is>
      </c>
      <c r="J66" s="5" t="inlineStr">
        <is>
          <t>Learn More</t>
        </is>
      </c>
      <c r="K66" s="6" t="inlineStr">
        <is>
          <t>Discover sky-high living in Central Wakad with 2 &amp; 3 Bed Sky Residences from ₹ 99L (All Incl.) Next to Phoenix Mall of t</t>
        </is>
      </c>
      <c r="L66" s="6"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M66" s="5" t="inlineStr">
        <is>
          <t>https://www.facebook.com/ads/library/?id=1411397624367173</t>
        </is>
      </c>
    </row>
    <row r="67">
      <c r="A67" s="7" t="n">
        <v>46</v>
      </c>
      <c r="B67" s="7" t="inlineStr">
        <is>
          <t>57 Elevate</t>
        </is>
      </c>
      <c r="C67" s="7" t="inlineStr">
        <is>
          <t>Real Estate Developer (Location-Piggyback)</t>
        </is>
      </c>
      <c r="D67" s="7" t="inlineStr">
        <is>
          <t>Phoenix Mall of the Millennium Wakad</t>
        </is>
      </c>
      <c r="E67" s="7" t="inlineStr">
        <is>
          <t>Pune</t>
        </is>
      </c>
      <c r="F67" s="7" t="inlineStr">
        <is>
          <t>LIVE</t>
        </is>
      </c>
      <c r="G67" s="7" t="inlineStr">
        <is>
          <t>26 May 2026</t>
        </is>
      </c>
      <c r="H67" s="7" t="n">
        <v>99</v>
      </c>
      <c r="I67" s="7" t="inlineStr">
        <is>
          <t>Evergreen Winner (90d+)</t>
        </is>
      </c>
      <c r="J67" s="7" t="inlineStr">
        <is>
          <t>Learn More</t>
        </is>
      </c>
      <c r="K67" s="8" t="inlineStr">
        <is>
          <t>Discover sky-high living in Central Wakad with 2 &amp; 3 Bed Sky Residences from ₹ 99L (All Incl.) Next to Phoenix Mall of t</t>
        </is>
      </c>
      <c r="L67" s="8"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M67" s="7" t="inlineStr">
        <is>
          <t>https://www.facebook.com/ads/library/?id=730180256846629</t>
        </is>
      </c>
    </row>
    <row r="68">
      <c r="A68" s="5" t="n">
        <v>47</v>
      </c>
      <c r="B68" s="5" t="inlineStr">
        <is>
          <t>Glow and Graft - Skin and Hair Clinic</t>
        </is>
      </c>
      <c r="C68" s="5" t="inlineStr">
        <is>
          <t>Other Advertiser (Event / Service / Direct-to-Consumer)</t>
        </is>
      </c>
      <c r="D68" s="5" t="inlineStr">
        <is>
          <t>Phoenix Mall of the Millennium Wakad</t>
        </is>
      </c>
      <c r="E68" s="5" t="inlineStr">
        <is>
          <t>Pune</t>
        </is>
      </c>
      <c r="F68" s="5" t="inlineStr">
        <is>
          <t>LIVE</t>
        </is>
      </c>
      <c r="G68" s="5" t="inlineStr">
        <is>
          <t>26 May 2026</t>
        </is>
      </c>
      <c r="H68" s="5" t="n">
        <v>99</v>
      </c>
      <c r="I68" s="5" t="inlineStr">
        <is>
          <t>Evergreen Winner (90d+)</t>
        </is>
      </c>
      <c r="J68" s="5" t="inlineStr">
        <is>
          <t>Book Now</t>
        </is>
      </c>
      <c r="K68" s="6" t="inlineStr">
        <is>
          <t>Losing Hair Every Day?</t>
        </is>
      </c>
      <c r="L68" s="6" t="inlineStr">
        <is>
          <t>Losing Hair Every Day? 😟 It's time to stop the worry and start regrowing! Chat with us Losing Hair Every Day? 😟 It's time to stop the worry and start regrowing! At Glow &amp; Graft Clinic, we offer proven, safe, and painless solutions to tackle hair loss before it turns into baldness. ✅ Stops Hairfall ✅ Regrows Hair Naturally ✅ Painless and Safe ✅ Assured Results Choose the right plan for you: Biotin PRP: 1 Session @ ₹1999 Advance GFC Therapy: 1 Session @ ₹2999 Don't wait—secure your full head of</t>
        </is>
      </c>
      <c r="M68" s="5" t="inlineStr">
        <is>
          <t>https://www.facebook.com/ads/library/?id=818447764425316</t>
        </is>
      </c>
    </row>
    <row r="69">
      <c r="A69" s="7" t="n">
        <v>48</v>
      </c>
      <c r="B69" s="7" t="inlineStr">
        <is>
          <t>Krishnapatnam</t>
        </is>
      </c>
      <c r="C69" s="7" t="inlineStr">
        <is>
          <t>Other Advertiser (Event / Service / Direct-to-Consumer)</t>
        </is>
      </c>
      <c r="D69" s="7" t="inlineStr">
        <is>
          <t>Sarath City Capital Mall</t>
        </is>
      </c>
      <c r="E69" s="7" t="inlineStr">
        <is>
          <t>Hyderabad</t>
        </is>
      </c>
      <c r="F69" s="7" t="inlineStr">
        <is>
          <t>LIVE</t>
        </is>
      </c>
      <c r="G69" s="7" t="inlineStr">
        <is>
          <t>26 May 2026</t>
        </is>
      </c>
      <c r="H69" s="7" t="n">
        <v>99</v>
      </c>
      <c r="I69" s="7" t="inlineStr">
        <is>
          <t>Evergreen Winner (90d+)</t>
        </is>
      </c>
      <c r="J69" s="7" t="inlineStr">
        <is>
          <t>Learn More</t>
        </is>
      </c>
      <c r="K69" s="8" t="inlineStr">
        <is>
          <t>Summer tastes better with mango — and this Mango Chicken Pulao proves it.</t>
        </is>
      </c>
      <c r="L69" s="8" t="inlineStr">
        <is>
          <t>Summer tastes better with mango — and this Mango Chicken Pulao proves it. Juicy chicken, fragrant rice, and a subtle mango twist come together to create a dish that’s bold, satisfying, and hard to resist.  Join us and celebrate mango, the Krishnapatnam way.  Our Branches: JUBLIEE HILLS: 9169695566 NEXUS MALL: 9169693344 AMB SARATH CITY CAPITAL MALL: 9117445566,9117667788 KOTHAPET: 917559778899,916913778899 . . . . . #krishnapatnam #mangofestival #authentickitchenandbar #southindianrestaurant #te</t>
        </is>
      </c>
      <c r="M69" s="7" t="inlineStr">
        <is>
          <t>https://www.facebook.com/ads/library/?id=970142412541885</t>
        </is>
      </c>
    </row>
    <row r="70">
      <c r="A70" s="5" t="n">
        <v>49</v>
      </c>
      <c r="B70" s="5" t="inlineStr">
        <is>
          <t>Sukhwani Skylines</t>
        </is>
      </c>
      <c r="C70" s="5" t="inlineStr">
        <is>
          <t>Real Estate Developer (Location-Piggyback)</t>
        </is>
      </c>
      <c r="D70" s="5" t="inlineStr">
        <is>
          <t>Phoenix Mall of the Millennium Wakad</t>
        </is>
      </c>
      <c r="E70" s="5" t="inlineStr">
        <is>
          <t>Pune</t>
        </is>
      </c>
      <c r="F70" s="5" t="inlineStr">
        <is>
          <t>LIVE</t>
        </is>
      </c>
      <c r="G70" s="5" t="inlineStr">
        <is>
          <t>28 May 2026</t>
        </is>
      </c>
      <c r="H70" s="5" t="n">
        <v>97</v>
      </c>
      <c r="I70" s="5" t="inlineStr">
        <is>
          <t>Evergreen Winner (90d+)</t>
        </is>
      </c>
      <c r="J70" s="5" t="inlineStr">
        <is>
          <t>Learn More</t>
        </is>
      </c>
      <c r="K70" s="6" t="inlineStr">
        <is>
          <t>Why wait for years?</t>
        </is>
      </c>
      <c r="L70" s="6"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0:43 ​ Active</t>
        </is>
      </c>
      <c r="M70" s="5" t="inlineStr">
        <is>
          <t>https://www.facebook.com/ads/library/?id=1123177267550899</t>
        </is>
      </c>
    </row>
    <row r="71">
      <c r="A71" s="7" t="n">
        <v>50</v>
      </c>
      <c r="B71" s="7" t="inlineStr">
        <is>
          <t>UniRely Study Abroad</t>
        </is>
      </c>
      <c r="C71" s="7" t="inlineStr">
        <is>
          <t>Other Advertiser (Event / Service / Direct-to-Consumer)</t>
        </is>
      </c>
      <c r="D71" s="7" t="inlineStr">
        <is>
          <t>The Pavillion Pune</t>
        </is>
      </c>
      <c r="E71" s="7" t="inlineStr">
        <is>
          <t>Pune</t>
        </is>
      </c>
      <c r="F71" s="7" t="inlineStr">
        <is>
          <t>off</t>
        </is>
      </c>
      <c r="G71" s="7" t="inlineStr">
        <is>
          <t>28 May 2026</t>
        </is>
      </c>
      <c r="H71" s="7" t="n">
        <v>97</v>
      </c>
      <c r="I71" s="7" t="inlineStr">
        <is>
          <t>Evergreen Winner (90d+)</t>
        </is>
      </c>
      <c r="J71" s="7" t="inlineStr">
        <is>
          <t>Sign Up</t>
        </is>
      </c>
      <c r="K71" s="8" t="inlineStr">
        <is>
          <t>Real students.</t>
        </is>
      </c>
      <c r="L71" s="8" t="inlineStr">
        <is>
          <t>Real students. Real universities. Real outcomes.  From top schools in India to leading global universities — these journeys happen with the right guidance.  At UniRely, we help your child build a pathway that leads to results like these.  ➔ These parents aimed right. Their kids are at Cambridge, NUS, UCLA — See the results → unirely.com unirely.com | +91 95011 10419 HTTPS://UNIRELY.COM/ These Students Didn’t Just Apply - They Got In https://unirely.com/ Sign Up https://unirely.com/ HTTPS://UNIRE</t>
        </is>
      </c>
      <c r="M71" s="7" t="inlineStr">
        <is>
          <t>https://www.facebook.com/ads/library/?id=1446712663805803</t>
        </is>
      </c>
    </row>
    <row r="72">
      <c r="A72" s="5" t="n">
        <v>51</v>
      </c>
      <c r="B72" s="5" t="inlineStr">
        <is>
          <t>Lakme Academy Pune Kharadi</t>
        </is>
      </c>
      <c r="C72" s="5" t="inlineStr">
        <is>
          <t>Other Advertiser (Event / Service / Direct-to-Consumer)</t>
        </is>
      </c>
      <c r="D72" s="5" t="inlineStr">
        <is>
          <t>The Pavillion Pune</t>
        </is>
      </c>
      <c r="E72" s="5" t="inlineStr">
        <is>
          <t>Pune</t>
        </is>
      </c>
      <c r="F72" s="5" t="inlineStr">
        <is>
          <t>LIVE</t>
        </is>
      </c>
      <c r="G72" s="5" t="inlineStr">
        <is>
          <t>3 Jun 2026</t>
        </is>
      </c>
      <c r="H72" s="5" t="n">
        <v>91</v>
      </c>
      <c r="I72" s="5" t="inlineStr">
        <is>
          <t>Evergreen Winner (90d+)</t>
        </is>
      </c>
      <c r="J72" s="5" t="inlineStr">
        <is>
          <t>Learn More</t>
        </is>
      </c>
      <c r="K72" s="6" t="inlineStr">
        <is>
          <t>🌟 Build a Successful Career in Beauty &amp; Wellness!</t>
        </is>
      </c>
      <c r="L72" s="6" t="inlineStr">
        <is>
          <t>🌟 Build a Successful Career in Beauty &amp; Wellness! 🌟  ✨ Join Lakmé Academy (Kharadi | Pimpri | Swargate) and explore 80+ Job-Ready Courses in: 💇 Hair | 💅 Nails | 💆 Skin | 💄 Makeup | 🌍 CIDESCO | ✨ Cosmetology  ✅ 100% Placement Assistance ✅ Free Demo Class Available  🎓 Learn from Certified Trainers with Global Trends &amp; Techniques.  📢 Admissions Open – Limited Seats! 👉 Book Your Seat Now &amp; Start Your Dream Career! ​ Active</t>
        </is>
      </c>
      <c r="M72" s="5" t="inlineStr">
        <is>
          <t>https://www.facebook.com/ads/library/?id=1313403593549625</t>
        </is>
      </c>
    </row>
    <row r="73">
      <c r="A73" s="7" t="n">
        <v>52</v>
      </c>
      <c r="B73" s="7" t="inlineStr">
        <is>
          <t>Christuniversity.online</t>
        </is>
      </c>
      <c r="C73" s="7" t="inlineStr">
        <is>
          <t>Other Advertiser (Event / Service / Direct-to-Consumer)</t>
        </is>
      </c>
      <c r="D73" s="7" t="inlineStr">
        <is>
          <t>The Pavillion Pune</t>
        </is>
      </c>
      <c r="E73" s="7" t="inlineStr">
        <is>
          <t>Pune</t>
        </is>
      </c>
      <c r="F73" s="7" t="inlineStr">
        <is>
          <t>off</t>
        </is>
      </c>
      <c r="G73" s="7" t="inlineStr">
        <is>
          <t>5 Jun 2026</t>
        </is>
      </c>
      <c r="H73" s="7" t="n">
        <v>89</v>
      </c>
      <c r="I73" s="7" t="inlineStr">
        <is>
          <t>Proven Scaler (60-89d)</t>
        </is>
      </c>
      <c r="J73" s="7" t="inlineStr">
        <is>
          <t>Learn More</t>
        </is>
      </c>
      <c r="K73" s="8" t="inlineStr">
        <is>
          <t>Ready for a change?</t>
        </is>
      </c>
      <c r="L73" s="8" t="inlineStr">
        <is>
          <t>Ready for a change? Ditch the doubts. Upgrade now. What's holding you back? WWW.ONLINE.CHRISTUNIVERSITY.IN What's Holding You Back? Flexible | UGC Entitled | NAAC A+ | AICTE Approved | Industry Relevant Apply Now ​ Inactive</t>
        </is>
      </c>
      <c r="M73" s="7" t="inlineStr">
        <is>
          <t>https://www.facebook.com/ads/library/?id=1671801897424844</t>
        </is>
      </c>
    </row>
    <row r="74">
      <c r="A74" s="5" t="n">
        <v>53</v>
      </c>
      <c r="B74" s="5" t="inlineStr">
        <is>
          <t>Broadway Live</t>
        </is>
      </c>
      <c r="C74" s="5" t="inlineStr">
        <is>
          <t>Tenant / Retail Brand (Co-Op Candidate)</t>
        </is>
      </c>
      <c r="D74" s="5" t="inlineStr">
        <is>
          <t>KOPA Mall Pune</t>
        </is>
      </c>
      <c r="E74" s="5" t="inlineStr">
        <is>
          <t>Pune</t>
        </is>
      </c>
      <c r="F74" s="5" t="inlineStr">
        <is>
          <t>LIVE</t>
        </is>
      </c>
      <c r="G74" s="5" t="inlineStr">
        <is>
          <t>8 Jun 2026</t>
        </is>
      </c>
      <c r="H74" s="5" t="n">
        <v>86</v>
      </c>
      <c r="I74" s="5" t="inlineStr">
        <is>
          <t>Proven Scaler (60-89d)</t>
        </is>
      </c>
      <c r="J74" s="5" t="inlineStr">
        <is>
          <t>Learn More</t>
        </is>
      </c>
      <c r="K74" s="6" t="inlineStr">
        <is>
          <t>200+ Next Gen brands now have a new address!</t>
        </is>
      </c>
      <c r="L74" s="6" t="inlineStr">
        <is>
          <t>200+ Next Gen brands now have a new address! More than just a store — step into exclusive launches, community events, &amp; live experiences all in one space.  From fashion to handpicked beauty and skincare to wellness and nutrition — discover the best of Broadway, now at Kopa Mall, Pune! 0:00 / 0:47 INSTAGRAM.COM Broadway Live Visit Instagram profile ​ Active</t>
        </is>
      </c>
      <c r="M74" s="5" t="inlineStr">
        <is>
          <t>https://www.facebook.com/ads/library/?id=2095485701310049</t>
        </is>
      </c>
    </row>
    <row r="75">
      <c r="A75" s="7" t="n">
        <v>54</v>
      </c>
      <c r="B75" s="7" t="inlineStr">
        <is>
          <t>Broadway Live</t>
        </is>
      </c>
      <c r="C75" s="7" t="inlineStr">
        <is>
          <t>Other Advertiser (Event / Service / Direct-to-Consumer)</t>
        </is>
      </c>
      <c r="D75" s="7" t="inlineStr">
        <is>
          <t>KOPA Mall Pune</t>
        </is>
      </c>
      <c r="E75" s="7" t="inlineStr">
        <is>
          <t>Pune</t>
        </is>
      </c>
      <c r="F75" s="7" t="inlineStr">
        <is>
          <t>LIVE</t>
        </is>
      </c>
      <c r="G75" s="7" t="inlineStr">
        <is>
          <t>8 Jun 2026</t>
        </is>
      </c>
      <c r="H75" s="7" t="n">
        <v>86</v>
      </c>
      <c r="I75" s="7" t="inlineStr">
        <is>
          <t>Proven Scaler (60-89d)</t>
        </is>
      </c>
      <c r="J75" s="7" t="inlineStr">
        <is>
          <t>Learn More</t>
        </is>
      </c>
      <c r="K75" s="8" t="inlineStr">
        <is>
          <t>What brands are available at Broadway - This isn’t just a store, its a vibe!</t>
        </is>
      </c>
      <c r="L75" s="8" t="inlineStr">
        <is>
          <t>What brands are available at Broadway - This isn’t just a store, its a vibe! Experiences &amp; events have a a new address  Visit us at Broadway Store 📍 1st Floor, Kopa Mall, Koregaon Park, Pune  Shop 200+ Next Gen Brands across, Beauty, Fashion, Wellness, Lifestyle &amp; More!   Only at Broadway you find 1. Your favourite Instagram Brands 2. Shark Tank Brands 3. Celeb owned Brands 4. Korean Beauty Brands  SHOP Fashion, Beauty, Luggage, Sneakers, Jewellery, Gifting 0:00 / 0:23 INSTAGRAM.COM Broadway Li</t>
        </is>
      </c>
      <c r="M75" s="7" t="inlineStr">
        <is>
          <t>https://www.facebook.com/ads/library/?id=3322127341292457</t>
        </is>
      </c>
    </row>
    <row r="76">
      <c r="A76" s="5" t="n">
        <v>55</v>
      </c>
      <c r="B76" s="5" t="inlineStr">
        <is>
          <t>Broadway Live</t>
        </is>
      </c>
      <c r="C76" s="5" t="inlineStr">
        <is>
          <t>Tenant / Retail Brand (Co-Op Candidate)</t>
        </is>
      </c>
      <c r="D76" s="5" t="inlineStr">
        <is>
          <t>KOPA Mall Pune</t>
        </is>
      </c>
      <c r="E76" s="5" t="inlineStr">
        <is>
          <t>Pune</t>
        </is>
      </c>
      <c r="F76" s="5" t="inlineStr">
        <is>
          <t>LIVE</t>
        </is>
      </c>
      <c r="G76" s="5" t="inlineStr">
        <is>
          <t>9 Jun 2026</t>
        </is>
      </c>
      <c r="H76" s="5" t="n">
        <v>85</v>
      </c>
      <c r="I76" s="5" t="inlineStr">
        <is>
          <t>Proven Scaler (60-89d)</t>
        </is>
      </c>
      <c r="J76" s="5" t="inlineStr">
        <is>
          <t>Learn More</t>
        </is>
      </c>
      <c r="K76" s="6" t="inlineStr">
        <is>
          <t>200+ Next Gen brands now have a new address!</t>
        </is>
      </c>
      <c r="L76" s="6" t="inlineStr">
        <is>
          <t>200+ Next Gen brands now have a new address! More than just a store — step into exclusive launches, community events, &amp; live experiences all in one space.  From fashion to handpicked beauty and skincare to wellness and nutrition — discover the best of Broadway, now at Kopa Mall, Pune! 0:00 / 0:54 INSTAGRAM.COM Broadway Live Visit Instagram profile ​ Active</t>
        </is>
      </c>
      <c r="M76" s="5" t="inlineStr">
        <is>
          <t>https://www.facebook.com/ads/library/?id=989998817117830</t>
        </is>
      </c>
    </row>
    <row r="77">
      <c r="A77" s="7" t="n">
        <v>56</v>
      </c>
      <c r="B77" s="7" t="inlineStr">
        <is>
          <t>Godrej Homes Hyderabad</t>
        </is>
      </c>
      <c r="C77" s="7" t="inlineStr">
        <is>
          <t>Real Estate Developer (Location-Piggyback)</t>
        </is>
      </c>
      <c r="D77" s="7" t="inlineStr">
        <is>
          <t>Nexus Hyderabad Mall</t>
        </is>
      </c>
      <c r="E77" s="7" t="inlineStr">
        <is>
          <t>Hyderabad</t>
        </is>
      </c>
      <c r="F77" s="7" t="inlineStr">
        <is>
          <t>LIVE</t>
        </is>
      </c>
      <c r="G77" s="7" t="inlineStr">
        <is>
          <t>13 Jun 2026</t>
        </is>
      </c>
      <c r="H77" s="7" t="n">
        <v>81</v>
      </c>
      <c r="I77" s="7" t="inlineStr">
        <is>
          <t>Proven Scaler (60-89d)</t>
        </is>
      </c>
      <c r="J77" s="7" t="inlineStr">
        <is>
          <t>Learn More</t>
        </is>
      </c>
      <c r="K77" s="8" t="inlineStr">
        <is>
          <t>✨ New Launch in Kukatpally!</t>
        </is>
      </c>
      <c r="L77" s="8" t="inlineStr">
        <is>
          <t>✨ New Launch in Kukatpally! ✨  🏡 3 &amp; 4 BHK Starting from 2.02 Cr*  📍 Prime Location in Kukatpally  🚇 KPHB Metro – 5 Mins 🚉 Hitech City Railway Station – 15 Mins 🛍️ Nexus Hyderabad Mall – 5 Mins  🌟 Project Highlights: ✔ Premium development spread across 7.8 acres ✔ 150+ world-class amenities ✔ Modern high-rise living ✔ Green Open Spaces with Luxurious Amenities ✔ 100 % Vaastu Complaint Home ✔ Biggest Master Bedroom  📈 Why Invest Here? 🔷 Close to HITEC City, Financial District &amp; Mindspace</t>
        </is>
      </c>
      <c r="M77" s="7" t="inlineStr">
        <is>
          <t>https://www.facebook.com/ads/library/?id=1448766980617868</t>
        </is>
      </c>
    </row>
    <row r="78">
      <c r="A78" s="5" t="n">
        <v>57</v>
      </c>
      <c r="B78" s="5" t="inlineStr">
        <is>
          <t>The Belgian Fries Co.</t>
        </is>
      </c>
      <c r="C78" s="5" t="inlineStr">
        <is>
          <t>Other Advertiser (Event / Service / Direct-to-Consumer)</t>
        </is>
      </c>
      <c r="D78" s="5" t="inlineStr">
        <is>
          <t>Lulu Mall Hyderabad</t>
        </is>
      </c>
      <c r="E78" s="5" t="inlineStr">
        <is>
          <t>Hyderabad</t>
        </is>
      </c>
      <c r="F78" s="5" t="inlineStr">
        <is>
          <t>off</t>
        </is>
      </c>
      <c r="G78" s="5" t="inlineStr">
        <is>
          <t>16 Jun 2026</t>
        </is>
      </c>
      <c r="H78" s="5" t="n">
        <v>78</v>
      </c>
      <c r="I78" s="5" t="inlineStr">
        <is>
          <t>Proven Scaler (60-89d)</t>
        </is>
      </c>
      <c r="J78" s="5" t="inlineStr">
        <is>
          <t>Learn More</t>
        </is>
      </c>
      <c r="K78" s="6" t="inlineStr">
        <is>
          <t>Energy level:</t>
        </is>
      </c>
      <c r="L78" s="6" t="inlineStr">
        <is>
          <t>Energy level:</t>
        </is>
      </c>
      <c r="M78" s="5" t="inlineStr">
        <is>
          <t>https://www.facebook.com/ads/library/?id=1728483328285702</t>
        </is>
      </c>
    </row>
    <row r="79">
      <c r="A79" s="7" t="n">
        <v>58</v>
      </c>
      <c r="B79" s="7" t="inlineStr">
        <is>
          <t>Sukhwani Skylines</t>
        </is>
      </c>
      <c r="C79" s="7" t="inlineStr">
        <is>
          <t>Real Estate Developer (Location-Piggyback)</t>
        </is>
      </c>
      <c r="D79" s="7" t="inlineStr">
        <is>
          <t>Phoenix Mall of the Millennium Wakad</t>
        </is>
      </c>
      <c r="E79" s="7" t="inlineStr">
        <is>
          <t>Pune</t>
        </is>
      </c>
      <c r="F79" s="7" t="inlineStr">
        <is>
          <t>LIVE</t>
        </is>
      </c>
      <c r="G79" s="7" t="inlineStr">
        <is>
          <t>17 Jun 2026</t>
        </is>
      </c>
      <c r="H79" s="7" t="n">
        <v>77</v>
      </c>
      <c r="I79" s="7" t="inlineStr">
        <is>
          <t>Proven Scaler (60-89d)</t>
        </is>
      </c>
      <c r="J79" s="7" t="inlineStr">
        <is>
          <t>Learn More</t>
        </is>
      </c>
      <c r="K79" s="8" t="inlineStr">
        <is>
          <t>Why wait for years?</t>
        </is>
      </c>
      <c r="L79" s="8"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1:35 ​ Active</t>
        </is>
      </c>
      <c r="M79" s="7" t="inlineStr">
        <is>
          <t>https://www.facebook.com/ads/library/?id=1255065926547338</t>
        </is>
      </c>
    </row>
    <row r="80">
      <c r="A80" s="5" t="n">
        <v>59</v>
      </c>
      <c r="B80" s="5" t="inlineStr">
        <is>
          <t>Little Earth Kiwale</t>
        </is>
      </c>
      <c r="C80" s="5" t="inlineStr">
        <is>
          <t>Real Estate Developer (Location-Piggyback)</t>
        </is>
      </c>
      <c r="D80" s="5" t="inlineStr">
        <is>
          <t>Phoenix Mall of the Millennium Wakad</t>
        </is>
      </c>
      <c r="E80" s="5" t="inlineStr">
        <is>
          <t>Pune</t>
        </is>
      </c>
      <c r="F80" s="5" t="inlineStr">
        <is>
          <t>LIVE</t>
        </is>
      </c>
      <c r="G80" s="5" t="inlineStr">
        <is>
          <t>17 Jun 2026</t>
        </is>
      </c>
      <c r="H80" s="5" t="n">
        <v>77</v>
      </c>
      <c r="I80" s="5" t="inlineStr">
        <is>
          <t>Proven Scaler (60-89d)</t>
        </is>
      </c>
      <c r="J80" s="5" t="inlineStr">
        <is>
          <t>Learn More</t>
        </is>
      </c>
      <c r="K80" s="6" t="inlineStr">
        <is>
          <t>31 Floors of Luxury + Larger Carpet Areas!</t>
        </is>
      </c>
      <c r="L80" s="6" t="inlineStr">
        <is>
          <t>31 Floors of Luxury + Larger Carpet Areas! 🏢 2 &amp; 3 BHKs from ₹75 L*. Click for layout! 0:00 / 1:10 API.WHATSAPP.COM Chat with us Kiwale ki skyline badalne aa raha hai Kolte-Patil! 🌆 Presenting the TALLEST TOWER in the vicinity at Little Earth, Kiwale. Ab unchi zindagi ke saath milega ZYADA SPACE! Introducing premium 2 &amp; 3 BHK apartments with larger carpet areas—kyunki bade ghar ka maza hi kuch aur hota hai. Move into a home where your family has plenty of room to grow, play, and relax. Imagine</t>
        </is>
      </c>
      <c r="M80" s="5" t="inlineStr">
        <is>
          <t>https://www.facebook.com/ads/library/?id=1536111661283237</t>
        </is>
      </c>
    </row>
    <row r="81">
      <c r="A81" s="7" t="n">
        <v>60</v>
      </c>
      <c r="B81" s="7" t="inlineStr">
        <is>
          <t>The Belgian Fries Co.</t>
        </is>
      </c>
      <c r="C81" s="7" t="inlineStr">
        <is>
          <t>Other Advertiser (Event / Service / Direct-to-Consumer)</t>
        </is>
      </c>
      <c r="D81" s="7" t="inlineStr">
        <is>
          <t>Lulu Mall Hyderabad</t>
        </is>
      </c>
      <c r="E81" s="7" t="inlineStr">
        <is>
          <t>Hyderabad</t>
        </is>
      </c>
      <c r="F81" s="7" t="inlineStr">
        <is>
          <t>LIVE</t>
        </is>
      </c>
      <c r="G81" s="7" t="inlineStr">
        <is>
          <t>17 Jun 2026</t>
        </is>
      </c>
      <c r="H81" s="7" t="n">
        <v>77</v>
      </c>
      <c r="I81" s="7" t="inlineStr">
        <is>
          <t>Proven Scaler (60-89d)</t>
        </is>
      </c>
      <c r="J81" s="7" t="inlineStr">
        <is>
          <t>Learn More</t>
        </is>
      </c>
      <c r="K81" s="8" t="inlineStr">
        <is>
          <t>Loaded bites, Louder cravings🍟🍔 .</t>
        </is>
      </c>
      <c r="L81" s="8" t="inlineStr">
        <is>
          <t>Loaded bites, Louder cravings🍟🍔 . . Find us at: 📍Pacific Mall Najafgarh Rd, Tagore Garden, Tilak Nagar, New Delhi, Delhi, 110018 @pacificmalldelhi   📍Lajpat Nagar Metro Station, New Delhi, Delhi 110024  📍Shipra Mall Vaibhav Khand, Indirapuram, Ghaziabad, Uttar Pradesh 201014  📍V3S Mall Vikas Marg, Laxmi Nagar Commercial Complex, Swasthya Vihar, New Delhi, Delhi, 110092 @v3smalldelhi   📍Gaur City Mall Greater Noida W Rd, Gaur City 1, Sector 4, Greater Noida, Ghaziabad, Uttar Pradesh 201318</t>
        </is>
      </c>
      <c r="M81" s="7" t="inlineStr">
        <is>
          <t>https://www.facebook.com/ads/library/?id=1290233692873144</t>
        </is>
      </c>
    </row>
    <row r="82">
      <c r="A82" s="5" t="n">
        <v>61</v>
      </c>
      <c r="B82" s="5" t="inlineStr">
        <is>
          <t>New Launch in Pune</t>
        </is>
      </c>
      <c r="C82" s="5" t="inlineStr">
        <is>
          <t>Real Estate Developer (Location-Piggyback)</t>
        </is>
      </c>
      <c r="D82" s="5" t="inlineStr">
        <is>
          <t>Phoenix Marketcity Pune</t>
        </is>
      </c>
      <c r="E82" s="5" t="inlineStr">
        <is>
          <t>Pune</t>
        </is>
      </c>
      <c r="F82" s="5" t="inlineStr">
        <is>
          <t>LIVE</t>
        </is>
      </c>
      <c r="G82" s="5" t="inlineStr">
        <is>
          <t>20 Jun 2026</t>
        </is>
      </c>
      <c r="H82" s="5" t="n">
        <v>74</v>
      </c>
      <c r="I82" s="5" t="inlineStr">
        <is>
          <t>Proven Scaler (60-89d)</t>
        </is>
      </c>
      <c r="J82" s="5" t="inlineStr">
        <is>
          <t>Learn More</t>
        </is>
      </c>
      <c r="K82" s="6" t="inlineStr">
        <is>
          <t>📍 𝐕𝐢𝐦𝐚𝐧 𝐍𝐚𝐠𝐚𝐫 – 𝐍𝐞𝐚𝐫 𝐏𝐡𝐨𝐞𝐧𝐢𝐱 𝐌𝐚𝐫𝐤𝐞𝐭𝐜𝐢𝐭𝐲 🏡 𝟐, 𝟐.𝟓 &amp; 𝟑 𝐁𝐇𝐊 𝐇𝐨𝐦𝐞𝐬  ₹𝟗𝟑𝐋 𝐎𝐧𝐰𝐚𝐫𝐝𝐬 Bada Ghar, Prime Location, Luxurious Finish</t>
        </is>
      </c>
      <c r="L82" s="6" t="inlineStr">
        <is>
          <t>📍 𝐕𝐢𝐦𝐚𝐧 𝐍𝐚𝐠𝐚𝐫 – 𝐍𝐞𝐚𝐫 𝐏𝐡𝐨𝐞𝐧𝐢𝐱 𝐌𝐚𝐫𝐤𝐞𝐭𝐜𝐢𝐭𝐲 🏡 𝟐, 𝟐.𝟓 &amp; 𝟑 𝐁𝐇𝐊 𝐇𝐨𝐦𝐞𝐬  ₹𝟗𝟑𝐋 𝐎𝐧𝐰𝐚𝐫𝐝𝐬 Bada Ghar, Prime Location, Luxurious Finish 30:70 Payment Plan Nearing Possession ✅ 𝗣𝗥𝗢𝗝𝗘𝗖𝗧 𝗛𝗜𝗚𝗛𝗟𝗜𝗚𝗛𝗧𝗦 🕒 36 Floor High-rise Towers 🤖 Biggest Master Suite – 24'0" X 18'9" 🏛️ Imported Marble Flooring 🛏️ 2 Beds with 2 Spacious Balconies 🏛️ 7 Acres of Land Parcel 0:00 / 1:00 FB.ME Near Possession Homes in Viman Nagar – ₹93 Lac Onwards Fast finishin</t>
        </is>
      </c>
      <c r="M82" s="5" t="inlineStr">
        <is>
          <t>https://www.facebook.com/ads/library/?id=1758312852189933</t>
        </is>
      </c>
    </row>
    <row r="83">
      <c r="A83" s="7" t="n">
        <v>62</v>
      </c>
      <c r="B83" s="7" t="inlineStr">
        <is>
          <t>57 Elevate</t>
        </is>
      </c>
      <c r="C83" s="7" t="inlineStr">
        <is>
          <t>Real Estate Developer (Location-Piggyback)</t>
        </is>
      </c>
      <c r="D83" s="7" t="inlineStr">
        <is>
          <t>Phoenix Mall of the Millennium Wakad</t>
        </is>
      </c>
      <c r="E83" s="7" t="inlineStr">
        <is>
          <t>Pune</t>
        </is>
      </c>
      <c r="F83" s="7" t="inlineStr">
        <is>
          <t>LIVE</t>
        </is>
      </c>
      <c r="G83" s="7" t="inlineStr">
        <is>
          <t>24 Jun 2026</t>
        </is>
      </c>
      <c r="H83" s="7" t="n">
        <v>70</v>
      </c>
      <c r="I83" s="7" t="inlineStr">
        <is>
          <t>Proven Scaler (60-89d)</t>
        </is>
      </c>
      <c r="J83" s="7" t="inlineStr">
        <is>
          <t>Learn More</t>
        </is>
      </c>
      <c r="K83" s="8" t="inlineStr">
        <is>
          <t>Discover sky-high living in Central Wakad with 2 &amp; 3 Bed Sky Residences from ₹ 99L (All Incl.) Next to Phoenix Mall of t</t>
        </is>
      </c>
      <c r="L83" s="8"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M83" s="7" t="inlineStr">
        <is>
          <t>https://www.facebook.com/ads/library/?id=1008925475431517</t>
        </is>
      </c>
    </row>
    <row r="84">
      <c r="A84" s="5" t="n">
        <v>63</v>
      </c>
      <c r="B84" s="5" t="inlineStr">
        <is>
          <t>57 Elevate</t>
        </is>
      </c>
      <c r="C84" s="5" t="inlineStr">
        <is>
          <t>Real Estate Developer (Location-Piggyback)</t>
        </is>
      </c>
      <c r="D84" s="5" t="inlineStr">
        <is>
          <t>Phoenix Mall of the Millennium Wakad</t>
        </is>
      </c>
      <c r="E84" s="5" t="inlineStr">
        <is>
          <t>Pune</t>
        </is>
      </c>
      <c r="F84" s="5" t="inlineStr">
        <is>
          <t>LIVE</t>
        </is>
      </c>
      <c r="G84" s="5" t="inlineStr">
        <is>
          <t>24 Jun 2026</t>
        </is>
      </c>
      <c r="H84" s="5" t="n">
        <v>70</v>
      </c>
      <c r="I84" s="5" t="inlineStr">
        <is>
          <t>Proven Scaler (60-89d)</t>
        </is>
      </c>
      <c r="J84" s="5" t="inlineStr">
        <is>
          <t>Learn More</t>
        </is>
      </c>
      <c r="K84" s="6" t="inlineStr">
        <is>
          <t>Discover sky-high living in Central Wakad with 2 &amp; 3 Bed Sky Residences from ₹ 99L (All Incl.) Next to Phoenix Mall of t</t>
        </is>
      </c>
      <c r="L84" s="6"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M84" s="5" t="inlineStr">
        <is>
          <t>https://www.facebook.com/ads/library/?id=1030639659498590</t>
        </is>
      </c>
    </row>
    <row r="85">
      <c r="A85" s="7" t="n">
        <v>64</v>
      </c>
      <c r="B85" s="7" t="inlineStr">
        <is>
          <t>57 Elevate</t>
        </is>
      </c>
      <c r="C85" s="7" t="inlineStr">
        <is>
          <t>Real Estate Developer (Location-Piggyback)</t>
        </is>
      </c>
      <c r="D85" s="7" t="inlineStr">
        <is>
          <t>Phoenix Mall of the Millennium Wakad</t>
        </is>
      </c>
      <c r="E85" s="7" t="inlineStr">
        <is>
          <t>Pune</t>
        </is>
      </c>
      <c r="F85" s="7" t="inlineStr">
        <is>
          <t>LIVE</t>
        </is>
      </c>
      <c r="G85" s="7" t="inlineStr">
        <is>
          <t>24 Jun 2026</t>
        </is>
      </c>
      <c r="H85" s="7" t="n">
        <v>70</v>
      </c>
      <c r="I85" s="7" t="inlineStr">
        <is>
          <t>Proven Scaler (60-89d)</t>
        </is>
      </c>
      <c r="J85" s="7" t="inlineStr">
        <is>
          <t>Learn More</t>
        </is>
      </c>
      <c r="K85" s="8" t="inlineStr">
        <is>
          <t>Discover sky-high living in Central Wakad with 2 &amp; 3 Bed Sky Residences from ₹ 99L (All Incl.) Next to Phoenix Mall of t</t>
        </is>
      </c>
      <c r="L85" s="8"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 Active</t>
        </is>
      </c>
      <c r="M85" s="7" t="inlineStr">
        <is>
          <t>https://www.facebook.com/ads/library/?id=1022358560170391</t>
        </is>
      </c>
    </row>
    <row r="86">
      <c r="A86" s="5" t="n">
        <v>65</v>
      </c>
      <c r="B86" s="5" t="inlineStr">
        <is>
          <t>57 Elevate</t>
        </is>
      </c>
      <c r="C86" s="5" t="inlineStr">
        <is>
          <t>Real Estate Developer (Location-Piggyback)</t>
        </is>
      </c>
      <c r="D86" s="5" t="inlineStr">
        <is>
          <t>Phoenix Mall of the Millennium Wakad</t>
        </is>
      </c>
      <c r="E86" s="5" t="inlineStr">
        <is>
          <t>Pune</t>
        </is>
      </c>
      <c r="F86" s="5" t="inlineStr">
        <is>
          <t>LIVE</t>
        </is>
      </c>
      <c r="G86" s="5" t="inlineStr">
        <is>
          <t>25 Jun 2026</t>
        </is>
      </c>
      <c r="H86" s="5" t="n">
        <v>69</v>
      </c>
      <c r="I86" s="5" t="inlineStr">
        <is>
          <t>Proven Scaler (60-89d)</t>
        </is>
      </c>
      <c r="J86" s="5" t="inlineStr">
        <is>
          <t>Learn More</t>
        </is>
      </c>
      <c r="K86" s="6" t="inlineStr">
        <is>
          <t>Discover sky-high living in Central Wakad with 2 &amp; 3 Bed Sky Residences from ₹ 99L (All Incl.) Next to Phoenix Mall of t</t>
        </is>
      </c>
      <c r="L86" s="6" t="inlineStr">
        <is>
          <t>Discover sky-high living in Central Wakad with 2 &amp; 3 Bed Sky Residences from ₹ 99L (All Incl.) Next to Phoenix Mall of the Millennium  ✅ 31-Storey Skyscraper with Panoramic Views ✅ 30+ Amenities Across 3 Levels ✅ Chosen by 200+ Families ✅ Central Wakad, Next to Phoenix Mall of The Millennium  Secure your sky residence today 0:00 / 0:43 ​ Active</t>
        </is>
      </c>
      <c r="M86" s="5" t="inlineStr">
        <is>
          <t>https://www.facebook.com/ads/library/?id=1526256422236184</t>
        </is>
      </c>
    </row>
    <row r="87">
      <c r="A87" s="7" t="n">
        <v>66</v>
      </c>
      <c r="B87" s="7" t="inlineStr">
        <is>
          <t>Urban Dulhaniya</t>
        </is>
      </c>
      <c r="C87" s="7" t="inlineStr">
        <is>
          <t>Other Advertiser (Event / Service / Direct-to-Consumer)</t>
        </is>
      </c>
      <c r="D87" s="7" t="inlineStr">
        <is>
          <t>The Pavillion Pune</t>
        </is>
      </c>
      <c r="E87" s="7" t="inlineStr">
        <is>
          <t>Pune</t>
        </is>
      </c>
      <c r="F87" s="7" t="inlineStr">
        <is>
          <t>LIVE</t>
        </is>
      </c>
      <c r="G87" s="7" t="inlineStr">
        <is>
          <t>25 Jun 2026</t>
        </is>
      </c>
      <c r="H87" s="7" t="n">
        <v>69</v>
      </c>
      <c r="I87" s="7" t="inlineStr">
        <is>
          <t>Proven Scaler (60-89d)</t>
        </is>
      </c>
      <c r="J87" s="7" t="inlineStr">
        <is>
          <t>Learn More</t>
        </is>
      </c>
      <c r="K87" s="8" t="inlineStr">
        <is>
          <t>Ombré Pink Bridal Lehenga for the Modern Bride — available for purchase online or visit us at Urban Dulhaniya, Pune.</t>
        </is>
      </c>
      <c r="L87" s="8" t="inlineStr">
        <is>
          <t>Ombré Pink Bridal Lehenga for the Modern Bride — available for purchase online or visit us at Urban Dulhaniya, Pune. 0:00 / 0:00 WWW.URBANDULHANIYA.COM Urban Dulhaniya See details ​ Active</t>
        </is>
      </c>
      <c r="M87" s="7" t="inlineStr">
        <is>
          <t>https://www.facebook.com/ads/library/?id=2395449297601610</t>
        </is>
      </c>
    </row>
    <row r="88">
      <c r="A88" s="5" t="n">
        <v>67</v>
      </c>
      <c r="B88" s="5" t="inlineStr">
        <is>
          <t>Sukhwani Skylines</t>
        </is>
      </c>
      <c r="C88" s="5" t="inlineStr">
        <is>
          <t>Real Estate Developer (Location-Piggyback)</t>
        </is>
      </c>
      <c r="D88" s="5" t="inlineStr">
        <is>
          <t>Phoenix Mall of the Millennium Wakad</t>
        </is>
      </c>
      <c r="E88" s="5" t="inlineStr">
        <is>
          <t>Pune</t>
        </is>
      </c>
      <c r="F88" s="5" t="inlineStr">
        <is>
          <t>LIVE</t>
        </is>
      </c>
      <c r="G88" s="5" t="inlineStr">
        <is>
          <t>30 Jun 2026</t>
        </is>
      </c>
      <c r="H88" s="5" t="n">
        <v>64</v>
      </c>
      <c r="I88" s="5" t="inlineStr">
        <is>
          <t>Proven Scaler (60-89d)</t>
        </is>
      </c>
      <c r="J88" s="5" t="inlineStr">
        <is>
          <t>Learn More</t>
        </is>
      </c>
      <c r="K88" s="6" t="inlineStr">
        <is>
          <t>Why wait for years?</t>
        </is>
      </c>
      <c r="L88" s="6" t="inlineStr">
        <is>
          <t>Why wait for years? Start living today  Book ready-to-move in 3 BHK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0:39 ​ Active</t>
        </is>
      </c>
      <c r="M88" s="5" t="inlineStr">
        <is>
          <t>https://www.facebook.com/ads/library/?id=1532179411822699</t>
        </is>
      </c>
    </row>
    <row r="89">
      <c r="A89" s="7" t="n">
        <v>68</v>
      </c>
      <c r="B89" s="7" t="inlineStr">
        <is>
          <t>Kosaraju Realty</t>
        </is>
      </c>
      <c r="C89" s="7" t="inlineStr">
        <is>
          <t>Real Estate Developer (Location-Piggyback)</t>
        </is>
      </c>
      <c r="D89" s="7" t="inlineStr">
        <is>
          <t>Inorbit Mall Cyberabad</t>
        </is>
      </c>
      <c r="E89" s="7" t="inlineStr">
        <is>
          <t>Hyderabad</t>
        </is>
      </c>
      <c r="F89" s="7" t="inlineStr">
        <is>
          <t>LIVE</t>
        </is>
      </c>
      <c r="G89" s="7" t="inlineStr">
        <is>
          <t>1 Jul 2026</t>
        </is>
      </c>
      <c r="H89" s="7" t="n">
        <v>63</v>
      </c>
      <c r="I89" s="7" t="inlineStr">
        <is>
          <t>Proven Scaler (60-89d)</t>
        </is>
      </c>
      <c r="J89" s="7" t="inlineStr">
        <is>
          <t>Learn More</t>
        </is>
      </c>
      <c r="K89" s="8" t="inlineStr">
        <is>
          <t>Kosaraju Group - The sole landowner of My Home APAS is offering lakeside luxury and sustainable living in Kokapet, Hyder</t>
        </is>
      </c>
      <c r="L89" s="8" t="inlineStr">
        <is>
          <t>Kosaraju Group - The sole landowner of My Home APAS is offering lakeside luxury and sustainable living in Kokapet, Hyderabad. With 6 sky-high towers and 81.6% open space across 13.52 acres, it features spacious 3 BHK apartments ranging from 2765 to 3860 sq ft. with the modern 72,000 sq ft clubhouse.  1. OVERVIEW: ✍️Land Area: 13.52 Acres ✍️No.of Blocks: 6 Sky High Towers ✍️No.of Units: 1338 ✍️3 &amp; 3.5 BHK Luxury Residences ✍️Floors: Ground+44 Floors  2. AREA in Sq.ft: ✍️3BHK : 2765 sft - 3860 sft</t>
        </is>
      </c>
      <c r="M89" s="7" t="inlineStr">
        <is>
          <t>https://www.facebook.com/ads/library/?id=1533437885196772</t>
        </is>
      </c>
    </row>
    <row r="90">
      <c r="A90" s="5" t="n">
        <v>69</v>
      </c>
      <c r="B90" s="5" t="inlineStr">
        <is>
          <t>Palmonas</t>
        </is>
      </c>
      <c r="C90" s="5" t="inlineStr">
        <is>
          <t>Other Advertiser (Event / Service / Direct-to-Consumer)</t>
        </is>
      </c>
      <c r="D90" s="5" t="inlineStr">
        <is>
          <t>Seasons Mall Pune</t>
        </is>
      </c>
      <c r="E90" s="5" t="inlineStr">
        <is>
          <t>Pune</t>
        </is>
      </c>
      <c r="F90" s="5" t="inlineStr">
        <is>
          <t>LIVE</t>
        </is>
      </c>
      <c r="G90" s="5" t="inlineStr">
        <is>
          <t>3 Jul 2026</t>
        </is>
      </c>
      <c r="H90" s="5" t="n">
        <v>61</v>
      </c>
      <c r="I90" s="5" t="inlineStr">
        <is>
          <t>Proven Scaler (60-89d)</t>
        </is>
      </c>
      <c r="J90" s="5" t="inlineStr">
        <is>
          <t>Learn More</t>
        </is>
      </c>
      <c r="K90" s="6" t="inlineStr">
        <is>
          <t>Shopping at Seasons Mall?</t>
        </is>
      </c>
      <c r="L90" s="6" t="inlineStr">
        <is>
          <t>Shopping at Seasons Mall? Don't miss PALMONAS. 💜  Explore anti-tarnish jewellery that's perfect for every occasion—from everyday essentials to statement styles.  📍 Visit PALMONAS | Seasons Mall ​ Active</t>
        </is>
      </c>
      <c r="M90" s="5" t="inlineStr">
        <is>
          <t>https://www.facebook.com/ads/library/?id=1510191370158216</t>
        </is>
      </c>
    </row>
    <row r="91">
      <c r="A91" s="7" t="n">
        <v>70</v>
      </c>
      <c r="B91" s="7" t="inlineStr">
        <is>
          <t>Palmonas</t>
        </is>
      </c>
      <c r="C91" s="7" t="inlineStr">
        <is>
          <t>Other Advertiser (Event / Service / Direct-to-Consumer)</t>
        </is>
      </c>
      <c r="D91" s="7" t="inlineStr">
        <is>
          <t>Seasons Mall Pune</t>
        </is>
      </c>
      <c r="E91" s="7" t="inlineStr">
        <is>
          <t>Pune</t>
        </is>
      </c>
      <c r="F91" s="7" t="inlineStr">
        <is>
          <t>LIVE</t>
        </is>
      </c>
      <c r="G91" s="7" t="inlineStr">
        <is>
          <t>3 Jul 2026</t>
        </is>
      </c>
      <c r="H91" s="7" t="n">
        <v>61</v>
      </c>
      <c r="I91" s="7" t="inlineStr">
        <is>
          <t>Proven Scaler (60-89d)</t>
        </is>
      </c>
      <c r="J91" s="7" t="inlineStr">
        <is>
          <t>Learn More</t>
        </is>
      </c>
      <c r="K91" s="8" t="inlineStr">
        <is>
          <t>Shopping at Seasons Mall?</t>
        </is>
      </c>
      <c r="L91" s="8" t="inlineStr">
        <is>
          <t>Shopping at Seasons Mall? Don't miss PALMONAS. 💜  Explore anti-tarnish jewellery that's perfect for every occasion—from everyday essentials to statement styles.  📍 Visit PALMONAS | Seasons Mall ​ Active</t>
        </is>
      </c>
      <c r="M91" s="7" t="inlineStr">
        <is>
          <t>https://www.facebook.com/ads/library/?id=2023285891882288</t>
        </is>
      </c>
    </row>
    <row r="92">
      <c r="A92" s="5" t="n">
        <v>71</v>
      </c>
      <c r="B92" s="5" t="inlineStr">
        <is>
          <t>Pimpri Chinchwad Real Estate</t>
        </is>
      </c>
      <c r="C92" s="5" t="inlineStr">
        <is>
          <t>Real Estate Developer (Location-Piggyback)</t>
        </is>
      </c>
      <c r="D92" s="5" t="inlineStr">
        <is>
          <t>Phoenix Mall of the Millennium Wakad</t>
        </is>
      </c>
      <c r="E92" s="5" t="inlineStr">
        <is>
          <t>Pune</t>
        </is>
      </c>
      <c r="F92" s="5" t="inlineStr">
        <is>
          <t>LIVE</t>
        </is>
      </c>
      <c r="G92" s="5" t="inlineStr">
        <is>
          <t>6 Jul 2026</t>
        </is>
      </c>
      <c r="H92" s="5" t="n">
        <v>58</v>
      </c>
      <c r="I92" s="5" t="inlineStr">
        <is>
          <t>Mid Flight (30-59d)</t>
        </is>
      </c>
      <c r="J92" s="5" t="inlineStr">
        <is>
          <t>Learn More</t>
        </is>
      </c>
      <c r="K92" s="6" t="inlineStr">
        <is>
          <t>Thergaon's Most Awaited Luxury Address - Victorian elevation, 3-level clubhouse, 2 &amp; 3 BHK homes at prime Dange Chowk lo</t>
        </is>
      </c>
      <c r="L92" s="6" t="inlineStr">
        <is>
          <t>Thergaon's Most Awaited Luxury Address - Victorian elevation, 3-level clubhouse, 2 &amp; 3 BHK homes at prime Dange Chowk location  Under Construction 2 BHK - 1.04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t>
        </is>
      </c>
      <c r="M92" s="5" t="inlineStr">
        <is>
          <t>https://www.facebook.com/ads/library/?id=27692921127006800</t>
        </is>
      </c>
    </row>
    <row r="93">
      <c r="A93" s="7" t="n">
        <v>72</v>
      </c>
      <c r="B93" s="7" t="inlineStr">
        <is>
          <t>Sukhwani Kingsley</t>
        </is>
      </c>
      <c r="C93" s="7" t="inlineStr">
        <is>
          <t>Real Estate Developer (Location-Piggyback)</t>
        </is>
      </c>
      <c r="D93" s="7" t="inlineStr">
        <is>
          <t>Phoenix Mall of the Millennium Wakad</t>
        </is>
      </c>
      <c r="E93" s="7" t="inlineStr">
        <is>
          <t>Pune</t>
        </is>
      </c>
      <c r="F93" s="7" t="inlineStr">
        <is>
          <t>LIVE</t>
        </is>
      </c>
      <c r="G93" s="7" t="inlineStr">
        <is>
          <t>6 Jul 2026</t>
        </is>
      </c>
      <c r="H93" s="7" t="n">
        <v>58</v>
      </c>
      <c r="I93" s="7" t="inlineStr">
        <is>
          <t>Mid Flight (30-59d)</t>
        </is>
      </c>
      <c r="J93" s="7" t="inlineStr">
        <is>
          <t>Learn More</t>
        </is>
      </c>
      <c r="K93" s="8" t="inlineStr">
        <is>
          <t>Thergaon's Most Awaited Luxury Address - Victorian elevation, 3-level clubhouse, 2 &amp; 3 BHK homes at prime Dange Chowk lo</t>
        </is>
      </c>
      <c r="L93" s="8" t="inlineStr">
        <is>
          <t>Thergaon's Most Awaited Luxury Address - Victorian elevation, 3-level clubhouse, 2 &amp; 3 BHK homes at prime Dange Chowk location  Under Construction 2 BHK - 1.04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t>
        </is>
      </c>
      <c r="M93" s="7" t="inlineStr">
        <is>
          <t>https://www.facebook.com/ads/library/?id=2388769481651945</t>
        </is>
      </c>
    </row>
    <row r="94">
      <c r="A94" s="5" t="n">
        <v>73</v>
      </c>
      <c r="B94" s="5" t="inlineStr">
        <is>
          <t>Pimpri Chinchwad Real Estate</t>
        </is>
      </c>
      <c r="C94" s="5" t="inlineStr">
        <is>
          <t>Real Estate Developer (Location-Piggyback)</t>
        </is>
      </c>
      <c r="D94" s="5" t="inlineStr">
        <is>
          <t>Phoenix Mall of the Millennium Wakad</t>
        </is>
      </c>
      <c r="E94" s="5" t="inlineStr">
        <is>
          <t>Pune</t>
        </is>
      </c>
      <c r="F94" s="5" t="inlineStr">
        <is>
          <t>LIVE</t>
        </is>
      </c>
      <c r="G94" s="5" t="inlineStr">
        <is>
          <t>6 Jul 2026</t>
        </is>
      </c>
      <c r="H94" s="5" t="n">
        <v>58</v>
      </c>
      <c r="I94" s="5" t="inlineStr">
        <is>
          <t>Mid Flight (30-59d)</t>
        </is>
      </c>
      <c r="J94" s="5" t="inlineStr">
        <is>
          <t>Learn More</t>
        </is>
      </c>
      <c r="K94" s="6" t="inlineStr">
        <is>
          <t>Thergaon's Most Awaited Luxury Address - Victorian elevation, 3-level clubhouse, 2 &amp; 3 BHK homes at prime Dange Chowk lo</t>
        </is>
      </c>
      <c r="L94" s="6" t="inlineStr">
        <is>
          <t>Thergaon's Most Awaited Luxury Address - Victorian elevation, 3-level clubhouse, 2 &amp; 3 BHK homes at prime Dange Chowk location  Under Construction 2 BHK - 1.04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t>
        </is>
      </c>
      <c r="M94" s="5" t="inlineStr">
        <is>
          <t>https://www.facebook.com/ads/library/?id=988135680711041</t>
        </is>
      </c>
    </row>
    <row r="95">
      <c r="A95" s="7" t="n">
        <v>74</v>
      </c>
      <c r="B95" s="7" t="inlineStr">
        <is>
          <t>Pimpri Chinchwad Real Estate</t>
        </is>
      </c>
      <c r="C95" s="7" t="inlineStr">
        <is>
          <t>Real Estate Developer (Location-Piggyback)</t>
        </is>
      </c>
      <c r="D95" s="7" t="inlineStr">
        <is>
          <t>Phoenix Mall of the Millennium Wakad</t>
        </is>
      </c>
      <c r="E95" s="7" t="inlineStr">
        <is>
          <t>Pune</t>
        </is>
      </c>
      <c r="F95" s="7" t="inlineStr">
        <is>
          <t>LIVE</t>
        </is>
      </c>
      <c r="G95" s="7" t="inlineStr">
        <is>
          <t>6 Jul 2026</t>
        </is>
      </c>
      <c r="H95" s="7" t="n">
        <v>58</v>
      </c>
      <c r="I95" s="7" t="inlineStr">
        <is>
          <t>Mid Flight (30-59d)</t>
        </is>
      </c>
      <c r="J95" s="7" t="inlineStr">
        <is>
          <t>Learn More</t>
        </is>
      </c>
      <c r="K95" s="8" t="inlineStr">
        <is>
          <t>Thergaon's Most Awaited Luxury Address - Victorian elevation, 3-level clubhouse, 2 &amp; 3 BHK homes at prime Dange Chowk lo</t>
        </is>
      </c>
      <c r="L95" s="8" t="inlineStr">
        <is>
          <t>Thergaon's Most Awaited Luxury Address - Victorian elevation, 3-level clubhouse, 2 &amp; 3 BHK homes at prime Dange Chowk location  Under Construction 2 BHK - 1.04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t>
        </is>
      </c>
      <c r="M95" s="7" t="inlineStr">
        <is>
          <t>https://www.facebook.com/ads/library/?id=1003614279186311</t>
        </is>
      </c>
    </row>
    <row r="96">
      <c r="A96" s="5" t="n">
        <v>75</v>
      </c>
      <c r="B96" s="5" t="inlineStr">
        <is>
          <t>Protouch</t>
        </is>
      </c>
      <c r="C96" s="5" t="inlineStr">
        <is>
          <t>Other Advertiser (Event / Service / Direct-to-Consumer)</t>
        </is>
      </c>
      <c r="D96" s="5" t="inlineStr">
        <is>
          <t>KOPA Mall Pune</t>
        </is>
      </c>
      <c r="E96" s="5" t="inlineStr">
        <is>
          <t>Pune</t>
        </is>
      </c>
      <c r="F96" s="5" t="inlineStr">
        <is>
          <t>LIVE</t>
        </is>
      </c>
      <c r="G96" s="5" t="inlineStr">
        <is>
          <t>7 Jul 2026</t>
        </is>
      </c>
      <c r="H96" s="5" t="n">
        <v>57</v>
      </c>
      <c r="I96" s="5" t="inlineStr">
        <is>
          <t>Mid Flight (30-59d)</t>
        </is>
      </c>
      <c r="J96" s="5" t="inlineStr">
        <is>
          <t>Learn More</t>
        </is>
      </c>
      <c r="K96" s="6" t="inlineStr">
        <is>
          <t>"KP has a new Saturday plan — and it involves glowing skin.</t>
        </is>
      </c>
      <c r="L96" s="6" t="inlineStr">
        <is>
          <t>"KP has a new Saturday plan — and it involves glowing skin. ✨  PROTOUCH® is now available in person at Broadway, Kopa Mall. Try Glow Pro 4-in-1 Micro current Facial Toning Device - A Unique Micro-current technology that tones, firms, and visibly lifts skin — before you decide to take it home.  No appointment. Just walk in.  📍 Broadway, Kopa Mall, KP Annexe 🕐 11 AM – 10 PM  #PROTOUCH #PuneSkincare #KoregaonPark #BroadwayPune #LEDSkincare" 0:00 / 0:44 PROTOUCHSKIN.COM Pune, come feel the differe</t>
        </is>
      </c>
      <c r="M96" s="5" t="inlineStr">
        <is>
          <t>https://www.facebook.com/ads/library/?id=1588806729329339</t>
        </is>
      </c>
    </row>
    <row r="97">
      <c r="A97" s="7" t="n">
        <v>76</v>
      </c>
      <c r="B97" s="7" t="inlineStr">
        <is>
          <t>Manipal Hospitals Pune</t>
        </is>
      </c>
      <c r="C97" s="7" t="inlineStr">
        <is>
          <t>Other Advertiser (Event / Service / Direct-to-Consumer)</t>
        </is>
      </c>
      <c r="D97" s="7" t="inlineStr">
        <is>
          <t>The Pavillion Pune</t>
        </is>
      </c>
      <c r="E97" s="7" t="inlineStr">
        <is>
          <t>Pune</t>
        </is>
      </c>
      <c r="F97" s="7" t="inlineStr">
        <is>
          <t>LIVE</t>
        </is>
      </c>
      <c r="G97" s="7" t="inlineStr">
        <is>
          <t>8 Jul 2026</t>
        </is>
      </c>
      <c r="H97" s="7" t="n">
        <v>56</v>
      </c>
      <c r="I97" s="7" t="inlineStr">
        <is>
          <t>Mid Flight (30-59d)</t>
        </is>
      </c>
      <c r="J97" s="7" t="inlineStr">
        <is>
          <t>Learn More</t>
        </is>
      </c>
      <c r="K97" s="8" t="inlineStr">
        <is>
          <t>A sudden rise in fever during changing weather can affect children, adults, and seniors alike.</t>
        </is>
      </c>
      <c r="L97" s="8" t="inlineStr">
        <is>
          <t>A sudden rise in fever during changing weather can affect children, adults, and seniors alike.  Early medical attention can help prevent complications and support faster recovery.  At Manipal Hospital Baner, our experienced specialists are here to provide expert care for your health.  ⚠️ Watch out for: 🔹 Persistent fever 🔹 Vomiting 🔹 Tiredness or unusual weakness 🔹 High-risk for people with asthma &amp; diabetes  💉 Flu vaccination can also help reduce the risk of seasonal flu and its complicati</t>
        </is>
      </c>
      <c r="M97" s="7" t="inlineStr">
        <is>
          <t>https://www.facebook.com/ads/library/?id=1826833162057845</t>
        </is>
      </c>
    </row>
    <row r="98">
      <c r="A98" s="5" t="n">
        <v>77</v>
      </c>
      <c r="B98" s="5" t="inlineStr">
        <is>
          <t>57 Elevate</t>
        </is>
      </c>
      <c r="C98" s="5" t="inlineStr">
        <is>
          <t>Real Estate Developer (Location-Piggyback)</t>
        </is>
      </c>
      <c r="D98" s="5" t="inlineStr">
        <is>
          <t>Phoenix Mall of the Millennium Wakad</t>
        </is>
      </c>
      <c r="E98" s="5" t="inlineStr">
        <is>
          <t>Pune</t>
        </is>
      </c>
      <c r="F98" s="5" t="inlineStr">
        <is>
          <t>LIVE</t>
        </is>
      </c>
      <c r="G98" s="5" t="inlineStr">
        <is>
          <t>9 Jul 2026</t>
        </is>
      </c>
      <c r="H98" s="5" t="n">
        <v>55</v>
      </c>
      <c r="I98" s="5" t="inlineStr">
        <is>
          <t>Mid Flight (30-59d)</t>
        </is>
      </c>
      <c r="J98" s="5" t="inlineStr">
        <is>
          <t>Learn More</t>
        </is>
      </c>
      <c r="K98" s="6" t="inlineStr">
        <is>
          <t>LIMITED TIME OPPORTUNITY!</t>
        </is>
      </c>
      <c r="L98" s="6" t="inlineStr">
        <is>
          <t>LIMITED TIME OPPORTUNITY! Own an expansive 3 BHK in Wakad just at ₹ 1.19 Cr. (All Incl.) Next to Phoenix Mall of the Millennium Only 12 Investor Units Left!  ✅ 31-Storey Skyscraper with Panoramic Views ✅ 30+ Amenities Across 3 Levels ✅ Zero Wastage Layouts ✅ Chosen By 200+ Families  Secure your sky residence today 3 BHK 917 sqft in Wakad only at ₹ 1.19 Cr. (A.I.) Only 12 Investor Units Left! Get Quote ​ Active</t>
        </is>
      </c>
      <c r="M98" s="5" t="inlineStr">
        <is>
          <t>https://www.facebook.com/ads/library/?id=1375528667821657</t>
        </is>
      </c>
    </row>
    <row r="99">
      <c r="A99" s="7" t="n">
        <v>78</v>
      </c>
      <c r="B99" s="7" t="inlineStr">
        <is>
          <t>57 Elevate</t>
        </is>
      </c>
      <c r="C99" s="7" t="inlineStr">
        <is>
          <t>Real Estate Developer (Location-Piggyback)</t>
        </is>
      </c>
      <c r="D99" s="7" t="inlineStr">
        <is>
          <t>Phoenix Mall of the Millennium Wakad</t>
        </is>
      </c>
      <c r="E99" s="7" t="inlineStr">
        <is>
          <t>Pune</t>
        </is>
      </c>
      <c r="F99" s="7" t="inlineStr">
        <is>
          <t>LIVE</t>
        </is>
      </c>
      <c r="G99" s="7" t="inlineStr">
        <is>
          <t>9 Jul 2026</t>
        </is>
      </c>
      <c r="H99" s="7" t="n">
        <v>55</v>
      </c>
      <c r="I99" s="7" t="inlineStr">
        <is>
          <t>Mid Flight (30-59d)</t>
        </is>
      </c>
      <c r="J99" s="7" t="inlineStr">
        <is>
          <t>Learn More</t>
        </is>
      </c>
      <c r="K99" s="8" t="inlineStr">
        <is>
          <t>LIMITED TIME OPPORTUNITY!</t>
        </is>
      </c>
      <c r="L99" s="8" t="inlineStr">
        <is>
          <t>LIMITED TIME OPPORTUNITY! Own an expansive 3 BHK in Wakad just at ₹ 1.19 Cr. (All Incl.) Next to Phoenix Mall of the Millennium Only 12 Investor Units Left!  ✅ 31-Storey Skyscraper with Panoramic Views ✅ 30+ Amenities Across 3 Levels ✅ Zero Wastage Layouts ✅ Chosen By 200+ Families  Secure your sky residence today 3 BHK 917 sqft in Wakad only at ₹ 1.19 Cr. (A.I.) Only 12 Investor Units Left! Get Quote ​ Active</t>
        </is>
      </c>
      <c r="M99" s="7" t="inlineStr">
        <is>
          <t>https://www.facebook.com/ads/library/?id=2551650098603542</t>
        </is>
      </c>
    </row>
    <row r="100">
      <c r="A100" s="5" t="n">
        <v>79</v>
      </c>
      <c r="B100" s="5" t="inlineStr">
        <is>
          <t>57 Elevate</t>
        </is>
      </c>
      <c r="C100" s="5" t="inlineStr">
        <is>
          <t>Real Estate Developer (Location-Piggyback)</t>
        </is>
      </c>
      <c r="D100" s="5" t="inlineStr">
        <is>
          <t>Phoenix Mall of the Millennium Wakad</t>
        </is>
      </c>
      <c r="E100" s="5" t="inlineStr">
        <is>
          <t>Pune</t>
        </is>
      </c>
      <c r="F100" s="5" t="inlineStr">
        <is>
          <t>LIVE</t>
        </is>
      </c>
      <c r="G100" s="5" t="inlineStr">
        <is>
          <t>9 Jul 2026</t>
        </is>
      </c>
      <c r="H100" s="5" t="n">
        <v>55</v>
      </c>
      <c r="I100" s="5" t="inlineStr">
        <is>
          <t>Mid Flight (30-59d)</t>
        </is>
      </c>
      <c r="J100" s="5" t="inlineStr">
        <is>
          <t>Learn More</t>
        </is>
      </c>
      <c r="K100" s="6" t="inlineStr">
        <is>
          <t>LIMITED TIME OPPORTUNITY!</t>
        </is>
      </c>
      <c r="L100" s="6" t="inlineStr">
        <is>
          <t>LIMITED TIME OPPORTUNITY! Own an expansive 3 BHK in Wakad just at ₹ 1.19 Cr. (All Incl.) Next to Phoenix Mall of the Millennium Only 12 Investor Units Left!  ✅ 31-Storey Skyscraper with Panoramic Views ✅ 30+ Amenities Across 3 Levels ✅ Zero Wastage Layouts ✅ Chosen By 200+ Families  Secure your sky residence today 0:00 / 0:00 FB.ME 3 BHK 917 sqft in Wakad only at ₹ 1.19 Cr. (A.I.) Only 12 Investor Units Left! Get quote ​ Active</t>
        </is>
      </c>
      <c r="M100" s="5" t="inlineStr">
        <is>
          <t>https://www.facebook.com/ads/library/?id=1585011789625377</t>
        </is>
      </c>
    </row>
    <row r="101">
      <c r="A101" s="7" t="n">
        <v>80</v>
      </c>
      <c r="B101" s="7" t="inlineStr">
        <is>
          <t>Palmonas</t>
        </is>
      </c>
      <c r="C101" s="7" t="inlineStr">
        <is>
          <t>Other Advertiser (Event / Service / Direct-to-Consumer)</t>
        </is>
      </c>
      <c r="D101" s="7" t="inlineStr">
        <is>
          <t>Sarath City Capital Mall</t>
        </is>
      </c>
      <c r="E101" s="7" t="inlineStr">
        <is>
          <t>Hyderabad</t>
        </is>
      </c>
      <c r="F101" s="7" t="inlineStr">
        <is>
          <t>LIVE</t>
        </is>
      </c>
      <c r="G101" s="7" t="inlineStr">
        <is>
          <t>11 Jul 2026</t>
        </is>
      </c>
      <c r="H101" s="7" t="n">
        <v>53</v>
      </c>
      <c r="I101" s="7" t="inlineStr">
        <is>
          <t>Mid Flight (30-59d)</t>
        </is>
      </c>
      <c r="J101" s="7" t="inlineStr">
        <is>
          <t>Learn More</t>
        </is>
      </c>
      <c r="K101" s="8" t="inlineStr">
        <is>
          <t>A day at Sarath City Capital Mall deserves a little sparkle.</t>
        </is>
      </c>
      <c r="L101" s="8" t="inlineStr">
        <is>
          <t>A day at Sarath City Capital Mall deserves a little sparkle. ✨  Between shopping, dining, and your favourite brands, stop by PALMONAS and discover jewellery you'll love wearing every day.  💜 Visit PALMONAS | Sarath City Capital Mall, Hyderabad  📍 Walk in today. ​ Active</t>
        </is>
      </c>
      <c r="M101" s="7" t="inlineStr">
        <is>
          <t>https://www.facebook.com/ads/library/?id=1000265449447676</t>
        </is>
      </c>
    </row>
    <row r="102">
      <c r="A102" s="5" t="n">
        <v>81</v>
      </c>
      <c r="B102" s="5" t="inlineStr">
        <is>
          <t>Palmonas</t>
        </is>
      </c>
      <c r="C102" s="5" t="inlineStr">
        <is>
          <t>Other Advertiser (Event / Service / Direct-to-Consumer)</t>
        </is>
      </c>
      <c r="D102" s="5" t="inlineStr">
        <is>
          <t>Sarath City Capital Mall</t>
        </is>
      </c>
      <c r="E102" s="5" t="inlineStr">
        <is>
          <t>Hyderabad</t>
        </is>
      </c>
      <c r="F102" s="5" t="inlineStr">
        <is>
          <t>LIVE</t>
        </is>
      </c>
      <c r="G102" s="5" t="inlineStr">
        <is>
          <t>11 Jul 2026</t>
        </is>
      </c>
      <c r="H102" s="5" t="n">
        <v>53</v>
      </c>
      <c r="I102" s="5" t="inlineStr">
        <is>
          <t>Mid Flight (30-59d)</t>
        </is>
      </c>
      <c r="J102" s="5" t="inlineStr">
        <is>
          <t>Learn More</t>
        </is>
      </c>
      <c r="K102" s="6" t="inlineStr">
        <is>
          <t>A day at Sarath City Capital Mall deserves a little sparkle.</t>
        </is>
      </c>
      <c r="L102" s="6" t="inlineStr">
        <is>
          <t>A day at Sarath City Capital Mall deserves a little sparkle. ✨  Between shopping, dining, and your favourite brands, stop by PALMONAS and discover jewellery you'll love wearing every day.  💜 Visit PALMONAS | Sarath City Capital Mall, Hyderabad  📍 Walk in today. ​ Active</t>
        </is>
      </c>
      <c r="M102" s="5" t="inlineStr">
        <is>
          <t>https://www.facebook.com/ads/library/?id=2509837629519300</t>
        </is>
      </c>
    </row>
    <row r="103">
      <c r="A103" s="7" t="n">
        <v>82</v>
      </c>
      <c r="B103" s="7" t="inlineStr">
        <is>
          <t>Loopie</t>
        </is>
      </c>
      <c r="C103" s="7" t="inlineStr">
        <is>
          <t>Other Advertiser (Event / Service / Direct-to-Consumer)</t>
        </is>
      </c>
      <c r="D103" s="7" t="inlineStr">
        <is>
          <t>KOPA Mall Pune</t>
        </is>
      </c>
      <c r="E103" s="7" t="inlineStr">
        <is>
          <t>Pune</t>
        </is>
      </c>
      <c r="F103" s="7" t="inlineStr">
        <is>
          <t>LIVE</t>
        </is>
      </c>
      <c r="G103" s="7" t="inlineStr">
        <is>
          <t>13 Jul 2026</t>
        </is>
      </c>
      <c r="H103" s="7" t="n">
        <v>51</v>
      </c>
      <c r="I103" s="7" t="inlineStr">
        <is>
          <t>Mid Flight (30-59d)</t>
        </is>
      </c>
      <c r="J103" s="7" t="inlineStr">
        <is>
          <t>Learn More</t>
        </is>
      </c>
      <c r="K103" s="8" t="inlineStr">
        <is>
          <t>Pune, we’ve arrived.</t>
        </is>
      </c>
      <c r="L103" s="8" t="inlineStr">
        <is>
          <t>Pune, we’ve arrived. ✨  A new space for modern parenting just opened its doors at Broadway, Kopa Mall.  From first strolls to everyday essentials, this is where thoughtful design meets real life with your little one.  Step in, explore, and experience Loopie up close. 🤍 0:00 / 0:23 LOOPIE.IN Loopie</t>
        </is>
      </c>
      <c r="M103" s="7" t="inlineStr">
        <is>
          <t>https://www.facebook.com/ads/library/?id=1056482240404001</t>
        </is>
      </c>
    </row>
    <row r="104">
      <c r="A104" s="5" t="n">
        <v>83</v>
      </c>
      <c r="B104" s="5" t="inlineStr">
        <is>
          <t>Amanora Park Town</t>
        </is>
      </c>
      <c r="C104" s="5" t="inlineStr">
        <is>
          <t>Real Estate Developer (Location-Piggyback)</t>
        </is>
      </c>
      <c r="D104" s="5" t="inlineStr">
        <is>
          <t>Seasons Mall Pune</t>
        </is>
      </c>
      <c r="E104" s="5" t="inlineStr">
        <is>
          <t>Pune</t>
        </is>
      </c>
      <c r="F104" s="5" t="inlineStr">
        <is>
          <t>LIVE</t>
        </is>
      </c>
      <c r="G104" s="5" t="inlineStr">
        <is>
          <t>14 Jul 2026</t>
        </is>
      </c>
      <c r="H104" s="5" t="n">
        <v>50</v>
      </c>
      <c r="I104" s="5" t="inlineStr">
        <is>
          <t>Mid Flight (30-59d)</t>
        </is>
      </c>
      <c r="J104" s="5" t="inlineStr">
        <is>
          <t>Learn More</t>
        </is>
      </c>
      <c r="K104" s="6" t="inlineStr">
        <is>
          <t>Experience the luxury of Pune’s tallest tower by Amanora Park Town!</t>
        </is>
      </c>
      <c r="L104" s="6" t="inlineStr">
        <is>
          <t>Experience the luxury of Pune’s tallest tower by Amanora Park Town!  Book your home in Gateway Towers-101, Hadapsar. Homes starting at ₹2.82 Cr* with panoramic views and world-class amenities.  ✅ Exclusive 2.5, 3.5, and 4.5 BHK Residences ✅ State-of-the-Art Smart Home Features ✅ Spacious Living with Stunning City Views  Live where luxury meets innovation. Luxury Homes in Pune's Tallest Tower from ₹2.82 Cr* Prestige Living in Amanora Park Town! Get Quote ​ Active</t>
        </is>
      </c>
      <c r="M104" s="5" t="inlineStr">
        <is>
          <t>https://www.facebook.com/ads/library/?id=27734403082913180</t>
        </is>
      </c>
    </row>
    <row r="105">
      <c r="A105" s="7" t="n">
        <v>84</v>
      </c>
      <c r="B105" s="7" t="inlineStr">
        <is>
          <t>Amanora Park Town</t>
        </is>
      </c>
      <c r="C105" s="7" t="inlineStr">
        <is>
          <t>Mall / Landlord (Direct Competitor)</t>
        </is>
      </c>
      <c r="D105" s="7" t="inlineStr">
        <is>
          <t>Seasons Mall Pune</t>
        </is>
      </c>
      <c r="E105" s="7" t="inlineStr">
        <is>
          <t>Pune</t>
        </is>
      </c>
      <c r="F105" s="7" t="inlineStr">
        <is>
          <t>LIVE</t>
        </is>
      </c>
      <c r="G105" s="7" t="inlineStr">
        <is>
          <t>14 Jul 2026</t>
        </is>
      </c>
      <c r="H105" s="7" t="n">
        <v>50</v>
      </c>
      <c r="I105" s="7" t="inlineStr">
        <is>
          <t>Mid Flight (30-59d)</t>
        </is>
      </c>
      <c r="J105" s="7" t="inlineStr">
        <is>
          <t>Learn More</t>
        </is>
      </c>
      <c r="K105" s="8" t="inlineStr">
        <is>
          <t>Gateway Towers 101 is positioned at the heart of Pune's most connected corridor.</t>
        </is>
      </c>
      <c r="L105" s="8" t="inlineStr">
        <is>
          <t>Gateway Towers 101 is positioned at the heart of Pune's most connected corridor. Everything that defines the city's finest living is within reach and yet, from this address, you are above it all.   - Tallest Tower In Pune - Quick Access to Koregaon Park, Magarpatta &amp; SP Infocity - Amanora Mall &amp; Seasons Mall at the doorstep - Premier schools, hospitals &amp; hospitality within the township - Hadapsar — Pune's fastest-growing premium address Pune's most Tallest Tower Prestige Living in Amanora Park T</t>
        </is>
      </c>
      <c r="M105" s="7" t="inlineStr">
        <is>
          <t>https://www.facebook.com/ads/library/?id=2186612152278700</t>
        </is>
      </c>
    </row>
    <row r="106">
      <c r="A106" s="5" t="n">
        <v>85</v>
      </c>
      <c r="B106" s="5" t="inlineStr">
        <is>
          <t>Amanora Park Town</t>
        </is>
      </c>
      <c r="C106" s="5" t="inlineStr">
        <is>
          <t>Real Estate Developer (Location-Piggyback)</t>
        </is>
      </c>
      <c r="D106" s="5" t="inlineStr">
        <is>
          <t>Seasons Mall Pune</t>
        </is>
      </c>
      <c r="E106" s="5" t="inlineStr">
        <is>
          <t>Pune</t>
        </is>
      </c>
      <c r="F106" s="5" t="inlineStr">
        <is>
          <t>LIVE</t>
        </is>
      </c>
      <c r="G106" s="5" t="inlineStr">
        <is>
          <t>14 Jul 2026</t>
        </is>
      </c>
      <c r="H106" s="5" t="n">
        <v>50</v>
      </c>
      <c r="I106" s="5" t="inlineStr">
        <is>
          <t>Mid Flight (30-59d)</t>
        </is>
      </c>
      <c r="J106" s="5" t="inlineStr">
        <is>
          <t>Learn More</t>
        </is>
      </c>
      <c r="K106" s="6" t="inlineStr">
        <is>
          <t>Own a landmark home at Gateway Towers 101, Pune’s tallest tower in a 400-acre township.</t>
        </is>
      </c>
      <c r="L106" s="6" t="inlineStr">
        <is>
          <t>Own a landmark home at Gateway Towers 101, Pune’s tallest tower in a 400-acre township. Premium residences starting ₹2.80 Cr*. Enquire now.  - Tallest Tower In Pune - Quick Access to Koregaon Park, Magarpatta &amp; SP Infocity - Amanora Mall &amp; Seasons Mall at the doorstep - Premier schools, hospitals &amp; hospitality within the township - Hadapsar — Pune's fastest-growing premium address Pune's most Tallest Tower Prestige Living in Amanora Park Town! Get Quote ​ Active</t>
        </is>
      </c>
      <c r="M106" s="5" t="inlineStr">
        <is>
          <t>https://www.facebook.com/ads/library/?id=2508504449589269</t>
        </is>
      </c>
    </row>
    <row r="107">
      <c r="A107" s="7" t="n">
        <v>86</v>
      </c>
      <c r="B107" s="7" t="inlineStr">
        <is>
          <t>Kohinoor Kaleido</t>
        </is>
      </c>
      <c r="C107" s="7" t="inlineStr">
        <is>
          <t>Real Estate Developer (Location-Piggyback)</t>
        </is>
      </c>
      <c r="D107" s="7" t="inlineStr">
        <is>
          <t>Phoenix Marketcity Pune</t>
        </is>
      </c>
      <c r="E107" s="7" t="inlineStr">
        <is>
          <t>Pune</t>
        </is>
      </c>
      <c r="F107" s="7" t="inlineStr">
        <is>
          <t>LIVE</t>
        </is>
      </c>
      <c r="G107" s="7" t="inlineStr">
        <is>
          <t>15 Jul 2026</t>
        </is>
      </c>
      <c r="H107" s="7" t="n">
        <v>49</v>
      </c>
      <c r="I107" s="7" t="inlineStr">
        <is>
          <t>Mid Flight (30-59d)</t>
        </is>
      </c>
      <c r="J107" s="7" t="inlineStr">
        <is>
          <t>Learn More</t>
        </is>
      </c>
      <c r="K107" s="8" t="inlineStr">
        <is>
          <t>𝐋𝐢𝐯𝐞 𝐚𝐭 𝐭𝐡𝐞 𝐜𝐞𝐧𝐭𝐞𝐫 𝐨𝐟 𝐏𝐮𝐧𝐞’𝐬 𝐟𝐚𝐬𝐭𝐞𝐬𝐭-𝐠𝐫𝐨𝐰𝐢𝐧𝐠 𝐡𝐮𝐛—𝐊𝐡𝐚𝐫𝐚𝐝𝐢!</t>
        </is>
      </c>
      <c r="L107" s="8" t="inlineStr">
        <is>
          <t>𝐋𝐢𝐯𝐞 𝐚𝐭 𝐭𝐡𝐞 𝐜𝐞𝐧𝐭𝐞𝐫 𝐨𝐟 𝐏𝐮𝐧𝐞’𝐬 𝐟𝐚𝐬𝐭𝐞𝐬𝐭-𝐠𝐫𝐨𝐰𝐢𝐧𝐠 𝐡𝐮𝐛—𝐊𝐡𝐚𝐫𝐚𝐝𝐢! Own premium 𝟐 &amp; 𝟑 𝐁𝐞𝐝 𝐑𝐞𝐬𝐢𝐝𝐞𝐧𝐜𝐞𝐬 with 𝐃𝐮𝐚𝐥 𝐁𝐚𝐥𝐜𝐨𝐧𝐢𝐞𝐬 𝐬𝐭𝐚𝐫𝐭𝐢𝐧𝐠 𝐟𝐫𝐨𝐦 ₹𝟏.𝟎𝟓 𝐂𝐫*  ✔ Premium 2 &amp; 3 Bed residences with dual balconies ✔ 25+ lifestyle amenities &amp; 2-level clubhouse ✔ Near EON IT Park, WTC &amp; major IT hubs ✔ Close to Phoenix Marketcity &amp; Amanora Mall ✔ Excellent connectivity to Nagar Road &amp; Pune Airport ✔ Trusted developer with 4.5K+ Google</t>
        </is>
      </c>
      <c r="M107" s="7" t="inlineStr">
        <is>
          <t>https://www.facebook.com/ads/library/?id=1750139622794548</t>
        </is>
      </c>
    </row>
    <row r="108">
      <c r="A108" s="5" t="n">
        <v>87</v>
      </c>
      <c r="B108" s="5" t="inlineStr">
        <is>
          <t>Tadka On JioHotstar</t>
        </is>
      </c>
      <c r="C108" s="5" t="inlineStr">
        <is>
          <t>Real Estate Developer (Location-Piggyback)</t>
        </is>
      </c>
      <c r="D108" s="5" t="inlineStr">
        <is>
          <t>The Pavillion Pune</t>
        </is>
      </c>
      <c r="E108" s="5" t="inlineStr">
        <is>
          <t>Pune</t>
        </is>
      </c>
      <c r="F108" s="5" t="inlineStr">
        <is>
          <t>LIVE</t>
        </is>
      </c>
      <c r="G108" s="5" t="inlineStr">
        <is>
          <t>17 Jul 2026</t>
        </is>
      </c>
      <c r="H108" s="5" t="n">
        <v>47</v>
      </c>
      <c r="I108" s="5" t="inlineStr">
        <is>
          <t>Mid Flight (30-59d)</t>
        </is>
      </c>
      <c r="J108" s="5" t="inlineStr">
        <is>
          <t>Learn More</t>
        </is>
      </c>
      <c r="K108" s="6" t="inlineStr">
        <is>
          <t>ONE NIGHT STAND ne bana diya ek gareeb ladki ko ₹10,000 crore ke empire ki maalkin!</t>
        </is>
      </c>
      <c r="L108" s="6" t="inlineStr">
        <is>
          <t>ONE NIGHT STAND ne bana diya ek gareeb ladki ko ₹10,000 crore ke empire ki maalkin! 😱👑 0:00 / 4:46 Free Episode Watch More ​ Active</t>
        </is>
      </c>
      <c r="M108" s="5" t="inlineStr">
        <is>
          <t>https://www.facebook.com/ads/library/?id=2069605830609116</t>
        </is>
      </c>
    </row>
    <row r="109">
      <c r="A109" s="7" t="n">
        <v>88</v>
      </c>
      <c r="B109" s="7" t="inlineStr">
        <is>
          <t>Address Home</t>
        </is>
      </c>
      <c r="C109" s="7" t="inlineStr">
        <is>
          <t>Other Advertiser (Event / Service / Direct-to-Consumer)</t>
        </is>
      </c>
      <c r="D109" s="7" t="inlineStr">
        <is>
          <t>The Pavillion Pune</t>
        </is>
      </c>
      <c r="E109" s="7" t="inlineStr">
        <is>
          <t>Pune</t>
        </is>
      </c>
      <c r="F109" s="7" t="inlineStr">
        <is>
          <t>LIVE</t>
        </is>
      </c>
      <c r="G109" s="7" t="inlineStr">
        <is>
          <t>17 Jul 2026</t>
        </is>
      </c>
      <c r="H109" s="7" t="n">
        <v>47</v>
      </c>
      <c r="I109" s="7" t="inlineStr">
        <is>
          <t>Mid Flight (30-59d)</t>
        </is>
      </c>
      <c r="J109" s="7" t="inlineStr">
        <is>
          <t>Learn More</t>
        </is>
      </c>
      <c r="K109" s="8" t="inlineStr">
        <is>
          <t>Discover our latest collection of luxury home décor, signature linens, statement furniture, exquisite gifting, and timel</t>
        </is>
      </c>
      <c r="L109" s="8" t="inlineStr">
        <is>
          <t>Discover our latest collection of luxury home décor, signature linens, statement furniture, exquisite gifting, and timeless accents—curated to elevate every space. Whether you're styling your dream home, selecting the perfect gift, or creating your trousseau, you'll find pieces that make a lasting impression.  Visit the Address Home Pune Concept Store and experience luxury beyond the screen.  5, Mulik Empire, Next to Tonique, Kalyani Nagar, Pune 📞 9667168895 0:00 / 0:42 ADDRESSHOME.COM Luxury H</t>
        </is>
      </c>
      <c r="M109" s="7" t="inlineStr">
        <is>
          <t>https://www.facebook.com/ads/library/?id=1029057229531656</t>
        </is>
      </c>
    </row>
    <row r="110">
      <c r="A110" s="5" t="n">
        <v>89</v>
      </c>
      <c r="B110" s="5" t="inlineStr">
        <is>
          <t>Premium Property Pune</t>
        </is>
      </c>
      <c r="C110" s="5" t="inlineStr">
        <is>
          <t>Real Estate Developer (Location-Piggyback)</t>
        </is>
      </c>
      <c r="D110" s="5" t="inlineStr">
        <is>
          <t>Seasons Mall Pune</t>
        </is>
      </c>
      <c r="E110" s="5" t="inlineStr">
        <is>
          <t>Pune</t>
        </is>
      </c>
      <c r="F110" s="5" t="inlineStr">
        <is>
          <t>LIVE</t>
        </is>
      </c>
      <c r="G110" s="5" t="inlineStr">
        <is>
          <t>17 Jul 2026</t>
        </is>
      </c>
      <c r="H110" s="5" t="n">
        <v>47</v>
      </c>
      <c r="I110" s="5" t="inlineStr">
        <is>
          <t>Mid Flight (30-59d)</t>
        </is>
      </c>
      <c r="J110" s="5" t="inlineStr">
        <is>
          <t>Learn More</t>
        </is>
      </c>
      <c r="K110" s="6" t="inlineStr">
        <is>
          <t xml:space="preserve">💥 Near Seasons Mall </t>
        </is>
      </c>
      <c r="L110" s="6" t="inlineStr">
        <is>
          <t>💥 Near Seasons Mall | Premium 2 BHK Homes Starting at ₹85 Lakhs* 📍 Hadapsar, Pune 🏢 Iconic Towers | G+P+28 Floors 🏡 40+ Lifestyle Amenities | Grand Clubhouse  🔥 Smart 10×10% Payment Plan – No Heavy Upfront Cost!  📍 Prime Connectivity: ✅ 5 Mins to Magarpatta IT Park ✅ 5 Mins to Amanora Mall ✅ 30 Mins to Pune International Airport  ✨ Enjoy premium living in one of Pune's fastest-growing locations with excellent connectivity, modern amenities, and strong appreciation potential.  ⏳ Limited Lau</t>
        </is>
      </c>
      <c r="M110" s="5" t="inlineStr">
        <is>
          <t>https://www.facebook.com/ads/library/?id=1041381161636453</t>
        </is>
      </c>
    </row>
    <row r="111">
      <c r="A111" s="7" t="n">
        <v>90</v>
      </c>
      <c r="B111" s="7" t="inlineStr">
        <is>
          <t>World Park, Pimpri Chinchwad</t>
        </is>
      </c>
      <c r="C111" s="7" t="inlineStr">
        <is>
          <t>Other Advertiser (Event / Service / Direct-to-Consumer)</t>
        </is>
      </c>
      <c r="D111" s="7" t="inlineStr">
        <is>
          <t>The Pavillion Pune</t>
        </is>
      </c>
      <c r="E111" s="7" t="inlineStr">
        <is>
          <t>Pune</t>
        </is>
      </c>
      <c r="F111" s="7" t="inlineStr">
        <is>
          <t>LIVE</t>
        </is>
      </c>
      <c r="G111" s="7" t="inlineStr">
        <is>
          <t>18 Jul 2026</t>
        </is>
      </c>
      <c r="H111" s="7" t="n">
        <v>46</v>
      </c>
      <c r="I111" s="7" t="inlineStr">
        <is>
          <t>Mid Flight (30-59d)</t>
        </is>
      </c>
      <c r="J111" s="7" t="inlineStr">
        <is>
          <t>Learn More</t>
        </is>
      </c>
      <c r="K111" s="8" t="inlineStr">
        <is>
          <t>🌧️ Rain makes every moment more magical at World Park, Pune!</t>
        </is>
      </c>
      <c r="L111" s="8" t="inlineStr">
        <is>
          <t>🌧️ Rain makes every moment more magical at World Park, Pune!  Walk through iconic world landmarks, enjoy the fresh monsoon vibes, and create unforgettable memories with your family and friends.  ✨ Iconic Attractions 📸 Picture-Perfect Views 👨‍👩‍👧‍👦 Fun for All Age Groups 🌦️ Ponchos Available at Just ₹20  This season, let the rain become part of your adventure.  📍 Visit Park Today! ​ Active</t>
        </is>
      </c>
      <c r="M111" s="7" t="inlineStr">
        <is>
          <t>https://www.facebook.com/ads/library/?id=1013328158266190</t>
        </is>
      </c>
    </row>
    <row r="112">
      <c r="A112" s="5" t="n">
        <v>91</v>
      </c>
      <c r="B112" s="5" t="inlineStr">
        <is>
          <t>Artizen Cafe</t>
        </is>
      </c>
      <c r="C112" s="5" t="inlineStr">
        <is>
          <t>Other Advertiser (Event / Service / Direct-to-Consumer)</t>
        </is>
      </c>
      <c r="D112" s="5" t="inlineStr">
        <is>
          <t>The Pavillion Pune</t>
        </is>
      </c>
      <c r="E112" s="5" t="inlineStr">
        <is>
          <t>Pune</t>
        </is>
      </c>
      <c r="F112" s="5" t="inlineStr">
        <is>
          <t>LIVE</t>
        </is>
      </c>
      <c r="G112" s="5" t="inlineStr">
        <is>
          <t>22 Jul 2026</t>
        </is>
      </c>
      <c r="H112" s="5" t="n">
        <v>42</v>
      </c>
      <c r="I112" s="5" t="inlineStr">
        <is>
          <t>Mid Flight (30-59d)</t>
        </is>
      </c>
      <c r="J112" s="5" t="inlineStr">
        <is>
          <t>Learn More</t>
        </is>
      </c>
      <c r="K112" s="6" t="inlineStr">
        <is>
          <t>Everyone’s planning this date in Pune today… are you?</t>
        </is>
      </c>
      <c r="L112" s="6" t="inlineStr">
        <is>
          <t>Everyone’s planning this date in Pune today… are you? 🎨💫 0:00 / 0:14 Pune’s Cutest Paint Party With Your Bestie 💖 Your bestie called… and she’s tired of the same old plans 😌🎨✨ So here’s your sign to ditch the boring café hopping and turn your day into a full-blown paint party instead 💃🏻🌈 Good food, endless gossip, paint splashes, cute pictures &amp; memories you’ll keep talking about long after the colours dry 🫶🏻 Grab your favourite human and head to Pune’s OG Art Café for the ultimate bes</t>
        </is>
      </c>
      <c r="M112" s="5" t="inlineStr">
        <is>
          <t>https://www.facebook.com/ads/library/?id=1677551147712040</t>
        </is>
      </c>
    </row>
    <row r="113">
      <c r="A113" s="7" t="n">
        <v>92</v>
      </c>
      <c r="B113" s="7" t="inlineStr">
        <is>
          <t>Candeur Skyline</t>
        </is>
      </c>
      <c r="C113" s="7" t="inlineStr">
        <is>
          <t>Real Estate Developer (Location-Piggyback)</t>
        </is>
      </c>
      <c r="D113" s="7" t="inlineStr">
        <is>
          <t>Sarath City Capital Mall</t>
        </is>
      </c>
      <c r="E113" s="7" t="inlineStr">
        <is>
          <t>Hyderabad</t>
        </is>
      </c>
      <c r="F113" s="7" t="inlineStr">
        <is>
          <t>off</t>
        </is>
      </c>
      <c r="G113" s="7" t="inlineStr">
        <is>
          <t>23 Jul 2026</t>
        </is>
      </c>
      <c r="H113" s="7" t="n">
        <v>41</v>
      </c>
      <c r="I113" s="7" t="inlineStr">
        <is>
          <t>Mid Flight (30-59d)</t>
        </is>
      </c>
      <c r="J113" s="7" t="inlineStr">
        <is>
          <t>Learn More</t>
        </is>
      </c>
      <c r="K113" s="8" t="inlineStr">
        <is>
          <t>Place yourself in the centre of new Hyderabad by choosing Financial District’s Skyline by Candeur.</t>
        </is>
      </c>
      <c r="L113" s="8" t="inlineStr">
        <is>
          <t>Place yourself in the centre of new Hyderabad by choosing Financial District’s Skyline by Candeur.  Experience unbridled opulence with unmatched convenience.  Financial District - 5 Mins. Sarath City Capital Mall - 10 Mins. HITEC City - 12 Mins. RGIA - 27 Mins. 4 BHK Sky Villas in Financial District. Book A Site Visit! Get Quote System status Ad Library APIAbout ads and data usePrivacyTermsCookies English (UK)</t>
        </is>
      </c>
      <c r="M113" s="7" t="inlineStr">
        <is>
          <t>https://www.facebook.com/ads/library/?id=1025742426987326</t>
        </is>
      </c>
    </row>
    <row r="114">
      <c r="A114" s="5" t="n">
        <v>93</v>
      </c>
      <c r="B114" s="5" t="inlineStr">
        <is>
          <t>ZEE5 Marathi</t>
        </is>
      </c>
      <c r="C114" s="5" t="inlineStr">
        <is>
          <t>Other Advertiser (Event / Service / Direct-to-Consumer)</t>
        </is>
      </c>
      <c r="D114" s="5" t="inlineStr">
        <is>
          <t>The Pavillion Pune</t>
        </is>
      </c>
      <c r="E114" s="5" t="inlineStr">
        <is>
          <t>Pune</t>
        </is>
      </c>
      <c r="F114" s="5" t="inlineStr">
        <is>
          <t>LIVE</t>
        </is>
      </c>
      <c r="G114" s="5" t="inlineStr">
        <is>
          <t>24 Jul 2026</t>
        </is>
      </c>
      <c r="H114" s="5" t="n">
        <v>40</v>
      </c>
      <c r="I114" s="5" t="inlineStr">
        <is>
          <t>Mid Flight (30-59d)</t>
        </is>
      </c>
      <c r="J114" s="5" t="inlineStr">
        <is>
          <t>Learn More</t>
        </is>
      </c>
      <c r="K114" s="6" t="inlineStr">
        <is>
          <t>A modern Pune Girl embraces a traditional Kolhapuri family to find a home, love, and an Aai 0:00 / 0:00 Love Beyond Trad</t>
        </is>
      </c>
      <c r="L114" s="6" t="inlineStr">
        <is>
          <t>A modern Pune Girl embraces a traditional Kolhapuri family to find a home, love, and an Aai 0:00 / 0:00 Love Beyond Traditions Subscribe ​ Active</t>
        </is>
      </c>
      <c r="M114" s="5" t="inlineStr">
        <is>
          <t>https://www.facebook.com/ads/library/?id=1690879555538484</t>
        </is>
      </c>
    </row>
    <row r="115">
      <c r="A115" s="7" t="n">
        <v>94</v>
      </c>
      <c r="B115" s="7" t="inlineStr">
        <is>
          <t>Rohan Builders India</t>
        </is>
      </c>
      <c r="C115" s="7" t="inlineStr">
        <is>
          <t>Real Estate Developer (Location-Piggyback)</t>
        </is>
      </c>
      <c r="D115" s="7" t="inlineStr">
        <is>
          <t>Phoenix Marketcity Pune</t>
        </is>
      </c>
      <c r="E115" s="7" t="inlineStr">
        <is>
          <t>Pune</t>
        </is>
      </c>
      <c r="F115" s="7" t="inlineStr">
        <is>
          <t>LIVE</t>
        </is>
      </c>
      <c r="G115" s="7" t="inlineStr">
        <is>
          <t>25 Jul 2026</t>
        </is>
      </c>
      <c r="H115" s="7" t="n">
        <v>39</v>
      </c>
      <c r="I115" s="7" t="inlineStr">
        <is>
          <t>Mid Flight (30-59d)</t>
        </is>
      </c>
      <c r="J115" s="7" t="inlineStr">
        <is>
          <t>Learn More</t>
        </is>
      </c>
      <c r="K115" s="8" t="inlineStr">
        <is>
          <t>✨ Avail No Pre-EMI till completion offer at Rohan Abhilasha 4, Wagholi.</t>
        </is>
      </c>
      <c r="L115" s="8"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0:00 / 0:33 API.W</t>
        </is>
      </c>
      <c r="M115" s="7" t="inlineStr">
        <is>
          <t>https://www.facebook.com/ads/library/?id=900754122555269</t>
        </is>
      </c>
    </row>
    <row r="116">
      <c r="A116" s="5" t="n">
        <v>95</v>
      </c>
      <c r="B116" s="5" t="inlineStr">
        <is>
          <t>Vrindavan Heights</t>
        </is>
      </c>
      <c r="C116" s="5" t="inlineStr">
        <is>
          <t>Real Estate Developer (Location-Piggyback)</t>
        </is>
      </c>
      <c r="D116" s="5" t="inlineStr">
        <is>
          <t>Amanora Mall Pune</t>
        </is>
      </c>
      <c r="E116" s="5" t="inlineStr">
        <is>
          <t>Pune</t>
        </is>
      </c>
      <c r="F116" s="5" t="inlineStr">
        <is>
          <t>LIVE</t>
        </is>
      </c>
      <c r="G116" s="5" t="inlineStr">
        <is>
          <t>27 Jul 2026</t>
        </is>
      </c>
      <c r="H116" s="5" t="n">
        <v>37</v>
      </c>
      <c r="I116" s="5" t="inlineStr">
        <is>
          <t>Mid Flight (30-59d)</t>
        </is>
      </c>
      <c r="J116" s="5" t="inlineStr">
        <is>
          <t>Learn More</t>
        </is>
      </c>
      <c r="K116" s="6" t="inlineStr">
        <is>
          <t>Phase 1 Sold Out.</t>
        </is>
      </c>
      <c r="L116" s="6" t="inlineStr">
        <is>
          <t>Phase 1 Sold Out. Phase 2 Sold Out.  The families who bought early got larger homes at the right price.  Now Phase III is open with limited inventory remaining.  🏡 2, 2.5 &amp; 3 BHK Smart Homes 📍 Behind Amanora Mall ✅ Large Carpet Areas ✅ Smart Home Features  Phase 1 &amp; 2 are already sold out. Limited inventory – only 40–50 homes available.  📞 For floor plans &amp; site visit: 8308820114 / 8308820115 RERA: P52100054968 0:00 / 1:23 FB.ME Phase I &amp; II Sold Out. Phase III Now Open.</t>
        </is>
      </c>
      <c r="M116" s="5" t="inlineStr">
        <is>
          <t>https://www.facebook.com/ads/library/?id=1043123115026547</t>
        </is>
      </c>
    </row>
    <row r="117">
      <c r="A117" s="7" t="n">
        <v>96</v>
      </c>
      <c r="B117" s="7" t="inlineStr">
        <is>
          <t>Urbansky</t>
        </is>
      </c>
      <c r="C117" s="7" t="inlineStr">
        <is>
          <t>Real Estate Developer (Location-Piggyback)</t>
        </is>
      </c>
      <c r="D117" s="7" t="inlineStr">
        <is>
          <t>Inorbit Mall Cyberabad</t>
        </is>
      </c>
      <c r="E117" s="7" t="inlineStr">
        <is>
          <t>Hyderabad</t>
        </is>
      </c>
      <c r="F117" s="7" t="inlineStr">
        <is>
          <t>LIVE</t>
        </is>
      </c>
      <c r="G117" s="7" t="inlineStr">
        <is>
          <t>27 Jul 2026</t>
        </is>
      </c>
      <c r="H117" s="7" t="n">
        <v>37</v>
      </c>
      <c r="I117" s="7" t="inlineStr">
        <is>
          <t>Mid Flight (30-59d)</t>
        </is>
      </c>
      <c r="J117" s="7" t="inlineStr">
        <is>
          <t>Learn More</t>
        </is>
      </c>
      <c r="K117" s="8" t="inlineStr">
        <is>
          <t>Experience sky villa living in Manikonda!</t>
        </is>
      </c>
      <c r="L117" s="8" t="inlineStr">
        <is>
          <t>Experience sky villa living in Manikonda!  URVI by Urbansky brings you spacious 3BHK duplex apartments designed with private double-height courtyards and home theatre configurations.  ✨ Project Highlights: • 3BHK Duplexes starting @ ₹2.4 Cr • Double-Height Private Courtyards • Dedicated Home Theatre Layouts • Prime Manikonda Location • RERA Registered: P02400009461  Tap '</t>
        </is>
      </c>
      <c r="M117" s="7" t="inlineStr">
        <is>
          <t>https://www.facebook.com/ads/library/?id=1683357636301820</t>
        </is>
      </c>
    </row>
    <row r="118">
      <c r="A118" s="5" t="n">
        <v>97</v>
      </c>
      <c r="B118" s="5" t="inlineStr">
        <is>
          <t>Tathawade - Wakad New Launch</t>
        </is>
      </c>
      <c r="C118" s="5" t="inlineStr">
        <is>
          <t>Real Estate Developer (Location-Piggyback)</t>
        </is>
      </c>
      <c r="D118" s="5" t="inlineStr">
        <is>
          <t>Phoenix Mall of the Millennium Wakad</t>
        </is>
      </c>
      <c r="E118" s="5" t="inlineStr">
        <is>
          <t>Pune</t>
        </is>
      </c>
      <c r="F118" s="5" t="inlineStr">
        <is>
          <t>LIVE</t>
        </is>
      </c>
      <c r="G118" s="5" t="inlineStr">
        <is>
          <t>28 Jul 2026</t>
        </is>
      </c>
      <c r="H118" s="5" t="n">
        <v>36</v>
      </c>
      <c r="I118" s="5" t="inlineStr">
        <is>
          <t>Mid Flight (30-59d)</t>
        </is>
      </c>
      <c r="J118" s="5" t="inlineStr">
        <is>
          <t>Learn More</t>
        </is>
      </c>
      <c r="K118" s="6" t="inlineStr">
        <is>
          <t>2, 2.5, 3 BHK Premium Residences in Tathawade *Unit Plan/Video for representation purpose only.</t>
        </is>
      </c>
      <c r="L118" s="6" t="inlineStr">
        <is>
          <t>2, 2.5, 3 BHK Premium Residences in Tathawade *Unit Plan/Video for representation purpose only. Visit site for project details.  ➦ Premium 2 BHK : 87 Lacs onwards | 3 BHK : 1.13 cr onwards ➦ Panoramic 360° Views ➦ 500m Skywalk Rooftop Loop ➦ Rooftop Amenities with Skygarden, Multiple Celebration Zones, Guest Suites, Smart Home Automation and Grand Double Height Entrance Lobby ➦ Most Spacious Kitchen Layout ➦ Phoenix Mall of the Millennium, Bhumkar Chowk, JPSM-Indira-Dr. DY Patil-Balaji Colleges,</t>
        </is>
      </c>
      <c r="M118" s="5" t="inlineStr">
        <is>
          <t>https://www.facebook.com/ads/library/?id=1077014541944425</t>
        </is>
      </c>
    </row>
    <row r="119">
      <c r="A119" s="7" t="n">
        <v>98</v>
      </c>
      <c r="B119" s="7" t="inlineStr">
        <is>
          <t>Tathawade - Wakad New Launch</t>
        </is>
      </c>
      <c r="C119" s="7" t="inlineStr">
        <is>
          <t>Real Estate Developer (Location-Piggyback)</t>
        </is>
      </c>
      <c r="D119" s="7" t="inlineStr">
        <is>
          <t>Phoenix Mall of the Millennium Wakad</t>
        </is>
      </c>
      <c r="E119" s="7" t="inlineStr">
        <is>
          <t>Pune</t>
        </is>
      </c>
      <c r="F119" s="7" t="inlineStr">
        <is>
          <t>LIVE</t>
        </is>
      </c>
      <c r="G119" s="7" t="inlineStr">
        <is>
          <t>28 Jul 2026</t>
        </is>
      </c>
      <c r="H119" s="7" t="n">
        <v>36</v>
      </c>
      <c r="I119" s="7" t="inlineStr">
        <is>
          <t>Mid Flight (30-59d)</t>
        </is>
      </c>
      <c r="J119" s="7" t="inlineStr">
        <is>
          <t>Learn More</t>
        </is>
      </c>
      <c r="K119" s="8" t="inlineStr">
        <is>
          <t>2, 2.5, 3 BHK Premium Residences in Tathawade *Unit Plan/Video for representation purpose only.</t>
        </is>
      </c>
      <c r="L119" s="8" t="inlineStr">
        <is>
          <t>2, 2.5, 3 BHK Premium Residences in Tathawade *Unit Plan/Video for representation purpose only. Visit site for project details.  ➦ Premium 2 BHK : 87 Lacs onwards | 3 BHK : 1.13 cr onwards ➦ Panoramic 360° Views ➦ 500m Skywalk Rooftop Loop ➦ Rooftop Amenities with Skygarden, Multiple Celebration Zones, Guest Suites, Smart Home Automation and Grand Double Height Entrance Lobby ➦ Most Spacious Kitchen Layout ➦ Phoenix Mall of the Millennium, Bhumkar Chowk, JPSM-Indira-Dr. DY Patil-Balaji Colleges,</t>
        </is>
      </c>
      <c r="M119" s="7" t="inlineStr">
        <is>
          <t>https://www.facebook.com/ads/library/?id=2469984586831961</t>
        </is>
      </c>
    </row>
    <row r="120">
      <c r="A120" s="5" t="n">
        <v>99</v>
      </c>
      <c r="B120" s="5" t="inlineStr">
        <is>
          <t>NextGen Living</t>
        </is>
      </c>
      <c r="C120" s="5" t="inlineStr">
        <is>
          <t>Real Estate Developer (Location-Piggyback)</t>
        </is>
      </c>
      <c r="D120" s="5" t="inlineStr">
        <is>
          <t>Phoenix Marketcity Pune</t>
        </is>
      </c>
      <c r="E120" s="5" t="inlineStr">
        <is>
          <t>Pune</t>
        </is>
      </c>
      <c r="F120" s="5" t="inlineStr">
        <is>
          <t>LIVE</t>
        </is>
      </c>
      <c r="G120" s="5" t="inlineStr">
        <is>
          <t>29 Jul 2026</t>
        </is>
      </c>
      <c r="H120" s="5" t="n">
        <v>35</v>
      </c>
      <c r="I120" s="5" t="inlineStr">
        <is>
          <t>Mid Flight (30-59d)</t>
        </is>
      </c>
      <c r="J120" s="5" t="inlineStr">
        <is>
          <t>Learn More</t>
        </is>
      </c>
      <c r="K120" s="6" t="inlineStr">
        <is>
          <t>𝐋𝐨𝐜𝐚𝐭𝐢𝐨𝐧 - 𝐊𝐡𝐚𝐫𝐚𝐝𝐢,𝐏𝐮𝐧𝐞  𝟐 𝐁𝐇𝐊 𝟖𝟗 𝐋𝐚𝐜𝐬 𝐎𝐧𝐰𝐚𝐫𝐝𝐬 𝟑 𝐁𝐇𝐊 𝟏.𝟏𝟎 𝐂𝐫.</t>
        </is>
      </c>
      <c r="L120" s="6" t="inlineStr">
        <is>
          <t>𝐋𝐨𝐜𝐚𝐭𝐢𝐨𝐧 - 𝐊𝐡𝐚𝐫𝐚𝐝𝐢,𝐏𝐮𝐧𝐞  𝟐 𝐁𝐇𝐊 𝟖𝟗 𝐋𝐚𝐜𝐬 𝐎𝐧𝐰𝐚𝐫𝐝𝐬 𝟑 𝐁𝐇𝐊 𝟏.𝟏𝟎 𝐂𝐫. 𝐎𝐧𝐰𝐚𝐫𝐝𝐬  ✨ PROJECT HIGHLIGHTS  ✔ 60% Open Space – Nature-centric living ✔ Premium 2 &amp; 3 Bed residences with dual balconies ✔ 25+ lifestyle amenities &amp; 2-level clubhouse ✔ Near EON IT Park, WTC &amp; major IT hubs ✔ Close to Phoenix Marketcity &amp; Amanora Mall ✔ Excellent connectivity to Nagar Road &amp; Pune Airport  WhatsApp Link: https://wa.link/os8iw3 0:00 / 0:49 FB.ME Special Pre-Launch Be</t>
        </is>
      </c>
      <c r="M120" s="5" t="inlineStr">
        <is>
          <t>https://www.facebook.com/ads/library/?id=1050913287479887</t>
        </is>
      </c>
    </row>
    <row r="121">
      <c r="A121" s="7" t="n">
        <v>100</v>
      </c>
      <c r="B121" s="7" t="inlineStr">
        <is>
          <t>Rohan Builders India</t>
        </is>
      </c>
      <c r="C121" s="7" t="inlineStr">
        <is>
          <t>Real Estate Developer (Location-Piggyback)</t>
        </is>
      </c>
      <c r="D121" s="7" t="inlineStr">
        <is>
          <t>Phoenix Marketcity Pune</t>
        </is>
      </c>
      <c r="E121" s="7" t="inlineStr">
        <is>
          <t>Pune</t>
        </is>
      </c>
      <c r="F121" s="7" t="inlineStr">
        <is>
          <t>off</t>
        </is>
      </c>
      <c r="G121" s="7" t="inlineStr">
        <is>
          <t>29 Jul 2026</t>
        </is>
      </c>
      <c r="H121" s="7" t="n">
        <v>35</v>
      </c>
      <c r="I121" s="7" t="inlineStr">
        <is>
          <t>Mid Flight (30-59d)</t>
        </is>
      </c>
      <c r="J121" s="7" t="inlineStr">
        <is>
          <t>Learn More</t>
        </is>
      </c>
      <c r="K121" s="8" t="inlineStr">
        <is>
          <t>✨ Avail No Pre-EMI till completion offer at Rohan Abhilasha 4, Wagholi.</t>
        </is>
      </c>
      <c r="L121" s="8"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0:00 / 0:30 Chat</t>
        </is>
      </c>
      <c r="M121" s="7" t="inlineStr">
        <is>
          <t>https://www.facebook.com/ads/library/?id=1745335259829880</t>
        </is>
      </c>
    </row>
    <row r="122">
      <c r="A122" s="5" t="n">
        <v>101</v>
      </c>
      <c r="B122" s="5" t="inlineStr">
        <is>
          <t>360Realtors</t>
        </is>
      </c>
      <c r="C122" s="5" t="inlineStr">
        <is>
          <t>Real Estate Developer (Location-Piggyback)</t>
        </is>
      </c>
      <c r="D122" s="5" t="inlineStr">
        <is>
          <t>Amanora Mall Pune</t>
        </is>
      </c>
      <c r="E122" s="5" t="inlineStr">
        <is>
          <t>Pune</t>
        </is>
      </c>
      <c r="F122" s="5" t="inlineStr">
        <is>
          <t>LIVE</t>
        </is>
      </c>
      <c r="G122" s="5" t="inlineStr">
        <is>
          <t>29 Jul 2026</t>
        </is>
      </c>
      <c r="H122" s="5" t="n">
        <v>35</v>
      </c>
      <c r="I122" s="5" t="inlineStr">
        <is>
          <t>Mid Flight (30-59d)</t>
        </is>
      </c>
      <c r="J122" s="5" t="inlineStr">
        <is>
          <t>Learn More</t>
        </is>
      </c>
      <c r="K122" s="6" t="inlineStr">
        <is>
          <t>🏡𝐒𝐭𝐮𝐧𝐧𝐢𝐧𝐠 2 &amp; 3 BHK 𝐀𝐩𝐚𝐫𝐭𝐦𝐞𝐧𝐭𝐬 in 𝐊𝐚𝐥𝐲𝐚𝐧𝐢 𝐍𝐚𝐠𝐚𝐫, Pune.</t>
        </is>
      </c>
      <c r="L122" s="6" t="inlineStr">
        <is>
          <t>🏡𝐒𝐭𝐮𝐧𝐧𝐢𝐧𝐠 2 &amp; 3 BHK 𝐀𝐩𝐚𝐫𝐭𝐦𝐞𝐧𝐭𝐬 in 𝐊𝐚𝐥𝐲𝐚𝐧𝐢 𝐍𝐚𝐠𝐚𝐫, Pune. ✅ Eon IT Park, Kharadi  - 10 Min   ✅ The Lexicon International School - 10 Min  ✅ Columbia Asia Hospital Is Just - 12 Min ✅ Reliance Smart - 15 Min  ✅ Amanora Mall  - 5 Min  ✅ Pune Railway Station - 10  Min  ✅ Pune Airport - 15 Min    𝗦𝗰𝗵𝗲𝗱𝘂𝗹𝗲 𝗬𝗼𝘂𝗿  𝗦𝗶𝘁𝗲 𝗩𝗶𝘀𝗶𝘁 𝗧𝗼𝗱𝗮𝘆! Get An Instant Callback From Our Representative.  👉 Maha RERA - 𝐀𝟓𝟏𝟗𝟎𝟎𝟎𝟎𝟎𝟐𝟒𝟔, 𝐏𝟓𝟐𝟏𝟎𝟎𝟎𝟒𝟖𝟏𝟗𝟓 FB.M</t>
        </is>
      </c>
      <c r="M122" s="5" t="inlineStr">
        <is>
          <t>https://www.facebook.com/ads/library/?id=2300599997345775</t>
        </is>
      </c>
    </row>
    <row r="123">
      <c r="A123" s="7" t="n">
        <v>102</v>
      </c>
      <c r="B123" s="7" t="inlineStr">
        <is>
          <t>Vastraura</t>
        </is>
      </c>
      <c r="C123" s="7" t="inlineStr">
        <is>
          <t>Other Advertiser (Event / Service / Direct-to-Consumer)</t>
        </is>
      </c>
      <c r="D123" s="7" t="inlineStr">
        <is>
          <t>Lulu Mall Hyderabad</t>
        </is>
      </c>
      <c r="E123" s="7" t="inlineStr">
        <is>
          <t>Hyderabad</t>
        </is>
      </c>
      <c r="F123" s="7" t="inlineStr">
        <is>
          <t>LIVE</t>
        </is>
      </c>
      <c r="G123" s="7" t="inlineStr">
        <is>
          <t>30 Jul 2026</t>
        </is>
      </c>
      <c r="H123" s="7" t="n">
        <v>34</v>
      </c>
      <c r="I123" s="7" t="inlineStr">
        <is>
          <t>Mid Flight (30-59d)</t>
        </is>
      </c>
      <c r="J123" s="7" t="inlineStr">
        <is>
          <t>Learn More</t>
        </is>
      </c>
      <c r="K123" s="8" t="inlineStr">
        <is>
          <t>🏏 Guess who welcomed customers at VASTRAURA today?</t>
        </is>
      </c>
      <c r="L123" s="8" t="inlineStr">
        <is>
          <t>🏏 Guess who welcomed customers at VASTRAURA today? 😉  Our BharatPe QR now features Rohit Sharma, making every payment feel a little more exciting! 💙✨  Shop your favorite ethnic styles, scan the QR, and enjoy a smooth payment experience.  📍 Visit VASTRAURA HIG 117, KPHB Colony, Phase 3, Lulu Mall Backside, Hyderabad.  💛 VASTRAURA – Elegance in Every Thread  Note: Rohit Sharma's image appears as part of BharatPe's official promotional branding on the QR. This does not imply a personal endorse</t>
        </is>
      </c>
      <c r="M123" s="7" t="inlineStr">
        <is>
          <t>https://www.facebook.com/ads/library/?id=1450991380123377</t>
        </is>
      </c>
    </row>
    <row r="124">
      <c r="A124" s="5" t="n">
        <v>103</v>
      </c>
      <c r="B124" s="5" t="inlineStr">
        <is>
          <t>Shourya's Hospital</t>
        </is>
      </c>
      <c r="C124" s="5" t="inlineStr">
        <is>
          <t>Other Advertiser (Event / Service / Direct-to-Consumer)</t>
        </is>
      </c>
      <c r="D124" s="5" t="inlineStr">
        <is>
          <t>Nexus Hyderabad Mall</t>
        </is>
      </c>
      <c r="E124" s="5" t="inlineStr">
        <is>
          <t>Hyderabad</t>
        </is>
      </c>
      <c r="F124" s="5" t="inlineStr">
        <is>
          <t>LIVE</t>
        </is>
      </c>
      <c r="G124" s="5" t="inlineStr">
        <is>
          <t>30 Jul 2026</t>
        </is>
      </c>
      <c r="H124" s="5" t="n">
        <v>34</v>
      </c>
      <c r="I124" s="5" t="inlineStr">
        <is>
          <t>Mid Flight (30-59d)</t>
        </is>
      </c>
      <c r="J124" s="5" t="inlineStr">
        <is>
          <t>Learn More</t>
        </is>
      </c>
      <c r="K124" s="6" t="inlineStr">
        <is>
          <t>Want to try IVF for a baby ?</t>
        </is>
      </c>
      <c r="L124" s="6" t="inlineStr">
        <is>
          <t>Want to try IVF for a baby ? At Shourya;s Hospital, you get Experienced and a Team with highest success rate with Challenging cases &amp;  state-of-the-art facilities all with this great AFFORDABLE IVF PACKAGE OFFER !!  📞 Book your appointment today!  📍 Visit Us at:  Shourya's Hospital,  Opp Exit Gate of Nexus Mall, Phase 6, KPHB, Kukatpally, Hyderabad 📞 Call/WhatsApp: 950 26 36 153  🌐 https://shouryas.hospital/ 0:00 / 0:26 API.WHATSAPP.COM Chat with Us | Follow Us Send WhatsApp message ​ Active</t>
        </is>
      </c>
      <c r="M124" s="5" t="inlineStr">
        <is>
          <t>https://www.facebook.com/ads/library/?id=1377871437305158</t>
        </is>
      </c>
    </row>
    <row r="125">
      <c r="A125" s="7" t="n">
        <v>104</v>
      </c>
      <c r="B125" s="7" t="inlineStr">
        <is>
          <t>Bajaj General Insurance Limited</t>
        </is>
      </c>
      <c r="C125" s="7" t="inlineStr">
        <is>
          <t>Other Advertiser (Event / Service / Direct-to-Consumer)</t>
        </is>
      </c>
      <c r="D125" s="7" t="inlineStr">
        <is>
          <t>The Pavillion Pune</t>
        </is>
      </c>
      <c r="E125" s="7" t="inlineStr">
        <is>
          <t>Pune</t>
        </is>
      </c>
      <c r="F125" s="7" t="inlineStr">
        <is>
          <t>LIVE</t>
        </is>
      </c>
      <c r="G125" s="7" t="inlineStr">
        <is>
          <t>31 Jul 2026</t>
        </is>
      </c>
      <c r="H125" s="7" t="n">
        <v>33</v>
      </c>
      <c r="I125" s="7" t="inlineStr">
        <is>
          <t>Mid Flight (30-59d)</t>
        </is>
      </c>
      <c r="J125" s="7" t="inlineStr">
        <is>
          <t>Learn More</t>
        </is>
      </c>
      <c r="K125" s="8" t="inlineStr">
        <is>
          <t>Protect your business from unexpected risks and secure its future.</t>
        </is>
      </c>
      <c r="L125" s="8" t="inlineStr">
        <is>
          <t>Protect your business from unexpected risks and secure its future. BAJAJGENERALINSURANCE.COM Protect Your Business Comprehensive cover for your business risks</t>
        </is>
      </c>
      <c r="M125" s="7" t="inlineStr">
        <is>
          <t>https://www.facebook.com/ads/library/?id=1714980066218759</t>
        </is>
      </c>
    </row>
    <row r="126">
      <c r="A126" s="5" t="n">
        <v>105</v>
      </c>
      <c r="B126" s="5" t="inlineStr">
        <is>
          <t>Premium Property Hub</t>
        </is>
      </c>
      <c r="C126" s="5" t="inlineStr">
        <is>
          <t>Real Estate Developer (Location-Piggyback)</t>
        </is>
      </c>
      <c r="D126" s="5" t="inlineStr">
        <is>
          <t>Phoenix Mall of the Millennium Wakad</t>
        </is>
      </c>
      <c r="E126" s="5" t="inlineStr">
        <is>
          <t>Pune</t>
        </is>
      </c>
      <c r="F126" s="5" t="inlineStr">
        <is>
          <t>LIVE</t>
        </is>
      </c>
      <c r="G126" s="5" t="inlineStr">
        <is>
          <t>1 Aug 2026</t>
        </is>
      </c>
      <c r="H126" s="5" t="n">
        <v>32</v>
      </c>
      <c r="I126" s="5" t="inlineStr">
        <is>
          <t>Mid Flight (30-59d)</t>
        </is>
      </c>
      <c r="J126" s="5" t="inlineStr">
        <is>
          <t>Learn More</t>
        </is>
      </c>
      <c r="K126" s="6" t="inlineStr">
        <is>
          <t>Spacious Homes at Exclusive Launch Prices  📌 Location: Aundh Ravet BRTS Road  2 BHK 847 Carpet ₹86.99 Lacs (All Incl.) 3</t>
        </is>
      </c>
      <c r="L126" s="6" t="inlineStr">
        <is>
          <t>Spacious Homes at Exclusive Launch Prices  📌 Location: Aundh Ravet BRTS Road  2 BHK 847 Carpet ₹86.99 Lacs (All Incl.) 3 BHK 1112 Carpet ₹1.29 Cr. (All Incl.)  PROJECT HIGHLIGHTS: ✔ 5 Mins From Phoenix Mall Of The Millennium  ✔ 4 Apartments Per Floor ✔ Possession in 3 Years ✔ Early Bird Discount on Spot Booking ✔ Spacious Walk-In Wardrobe Space   Kindly Click on ''Get Quote'' Button For Instant Details. 0:00 / 0:37 FB.ME Special Price Privilege for Token Holders Get quote ​ Active</t>
        </is>
      </c>
      <c r="M126" s="5" t="inlineStr">
        <is>
          <t>https://www.facebook.com/ads/library/?id=1537935484497581</t>
        </is>
      </c>
    </row>
    <row r="127">
      <c r="A127" s="7" t="n">
        <v>106</v>
      </c>
      <c r="B127" s="7" t="inlineStr">
        <is>
          <t>Kohinoor Group Pune</t>
        </is>
      </c>
      <c r="C127" s="7" t="inlineStr">
        <is>
          <t>Real Estate Developer (Location-Piggyback)</t>
        </is>
      </c>
      <c r="D127" s="7" t="inlineStr">
        <is>
          <t>The Pavillion Pune</t>
        </is>
      </c>
      <c r="E127" s="7" t="inlineStr">
        <is>
          <t>Pune</t>
        </is>
      </c>
      <c r="F127" s="7" t="inlineStr">
        <is>
          <t>LIVE</t>
        </is>
      </c>
      <c r="G127" s="7" t="inlineStr">
        <is>
          <t>1 Aug 2026</t>
        </is>
      </c>
      <c r="H127" s="7" t="n">
        <v>32</v>
      </c>
      <c r="I127" s="7" t="inlineStr">
        <is>
          <t>Mid Flight (30-59d)</t>
        </is>
      </c>
      <c r="J127" s="7" t="inlineStr">
        <is>
          <t>Learn More</t>
        </is>
      </c>
      <c r="K127" s="8" t="inlineStr">
        <is>
          <t>Where extraordinary lives find their foundation.</t>
        </is>
      </c>
      <c r="L127" s="8" t="inlineStr">
        <is>
          <t>Where extraordinary lives find their foundation. I Am Kohinoor.  ● Residential | Commercial | Redevelopment | Co-Living | Warehousing ● 22,000+ Happy Families ● 54 Projects Delivered ● 41+ Years of Legacy ● On-Time Possession Track Record ● 13M+ Sq.Ft. Delivered HTTPS://KOHINOORPUNE.COM/ Crafting Icons. Creating Futures. Live Kohinoor. I am Kohinoor</t>
        </is>
      </c>
      <c r="M127" s="7" t="inlineStr">
        <is>
          <t>https://www.facebook.com/ads/library/?id=1592359189171479</t>
        </is>
      </c>
    </row>
    <row r="128">
      <c r="A128" s="5" t="n">
        <v>107</v>
      </c>
      <c r="B128" s="5" t="inlineStr">
        <is>
          <t>Kohinoor Kaleido</t>
        </is>
      </c>
      <c r="C128" s="5" t="inlineStr">
        <is>
          <t>Real Estate Developer (Location-Piggyback)</t>
        </is>
      </c>
      <c r="D128" s="5" t="inlineStr">
        <is>
          <t>Phoenix Marketcity Pune</t>
        </is>
      </c>
      <c r="E128" s="5" t="inlineStr">
        <is>
          <t>Pune</t>
        </is>
      </c>
      <c r="F128" s="5" t="inlineStr">
        <is>
          <t>LIVE</t>
        </is>
      </c>
      <c r="G128" s="5" t="inlineStr">
        <is>
          <t>3 Aug 2026</t>
        </is>
      </c>
      <c r="H128" s="5" t="n">
        <v>30</v>
      </c>
      <c r="I128" s="5" t="inlineStr">
        <is>
          <t>Mid Flight (30-59d)</t>
        </is>
      </c>
      <c r="J128" s="5" t="inlineStr">
        <is>
          <t>Learn More</t>
        </is>
      </c>
      <c r="K128" s="6" t="inlineStr">
        <is>
          <t>𝟐 &amp; 𝟑 𝐁𝐞𝐝 𝐏𝐫𝐞𝐦𝐢𝐮𝐦 𝐑𝐞𝐬𝐢𝐝𝐞𝐧𝐜𝐞𝐬 with 2 Balconies, starting at ₹𝟏.𝟎𝟓 𝐂𝐫* – Happening Kharadi, Pune.</t>
        </is>
      </c>
      <c r="L128" s="6" t="inlineStr">
        <is>
          <t>𝟐 &amp; 𝟑 𝐁𝐞𝐝 𝐏𝐫𝐞𝐦𝐢𝐮𝐦 𝐑𝐞𝐬𝐢𝐝𝐞𝐧𝐜𝐞𝐬 with 2 Balconies, starting at ₹𝟏.𝟎𝟓 𝐂𝐫* – Happening Kharadi, Pune.  • Premium residences in the heart of Happening Kharadi • 2-floor clubhouse with swimming pool, indoor &amp; outdoor gym, sports courts &amp; 25+ lifestyle amenities • EON IT Park, World Trade Center, Zensar &amp; Panchshil within easy reach • Phoenix Marketcity, Seasons Mall &amp; Amanora Mall nearby • Excellent connectivity to Nagar Road, Kharadi Bypass &amp; Pune Airport • Trusted by 4.5K+ G</t>
        </is>
      </c>
      <c r="M128" s="5" t="inlineStr">
        <is>
          <t>https://www.facebook.com/ads/library/?id=931273223316109</t>
        </is>
      </c>
    </row>
    <row r="129">
      <c r="A129" s="7" t="n">
        <v>108</v>
      </c>
      <c r="B129" s="7" t="inlineStr">
        <is>
          <t>Kohinoor Kaleido</t>
        </is>
      </c>
      <c r="C129" s="7" t="inlineStr">
        <is>
          <t>Real Estate Developer (Location-Piggyback)</t>
        </is>
      </c>
      <c r="D129" s="7" t="inlineStr">
        <is>
          <t>Phoenix Marketcity Pune</t>
        </is>
      </c>
      <c r="E129" s="7" t="inlineStr">
        <is>
          <t>Pune</t>
        </is>
      </c>
      <c r="F129" s="7" t="inlineStr">
        <is>
          <t>LIVE</t>
        </is>
      </c>
      <c r="G129" s="7" t="inlineStr">
        <is>
          <t>3 Aug 2026</t>
        </is>
      </c>
      <c r="H129" s="7" t="n">
        <v>30</v>
      </c>
      <c r="I129" s="7" t="inlineStr">
        <is>
          <t>Mid Flight (30-59d)</t>
        </is>
      </c>
      <c r="J129" s="7" t="inlineStr">
        <is>
          <t>Learn More</t>
        </is>
      </c>
      <c r="K129" s="8" t="inlineStr">
        <is>
          <t>Elevated Living in 𝟐 &amp; 𝟑 𝐁𝐞𝐝 𝐏𝐫𝐞𝐦𝐢𝐮𝐦 𝐑𝐞𝐬𝐢𝐝𝐞𝐧𝐜𝐞𝐬with Dual Balconies, starting at ₹𝟏.𝟎𝟓 𝐂𝐫* – Happening Kharadi, Pune.</t>
        </is>
      </c>
      <c r="L129" s="8" t="inlineStr">
        <is>
          <t>Elevated Living in 𝟐 &amp; 𝟑 𝐁𝐞𝐝 𝐏𝐫𝐞𝐦𝐢𝐮𝐦 𝐑𝐞𝐬𝐢𝐝𝐞𝐧𝐜𝐞𝐬with Dual Balconies, starting at ₹𝟏.𝟎𝟓 𝐂𝐫* – Happening Kharadi, Pune.  • Premium residences in the heart of Happening Kharadi • 2-floor clubhouse with swimming pool, indoor &amp; outdoor gym, sports courts &amp; 25+ lifestyle amenities • EON IT Park, World Trade Center, Zensar &amp; Panchshil within easy reach • Phoenix Marketcity, Seasons Mall &amp; Amanora Mall nearby • Excellent connectivity to Nagar Road, Kharadi Bypass &amp; Pune Airport</t>
        </is>
      </c>
      <c r="M129" s="7" t="inlineStr">
        <is>
          <t>https://www.facebook.com/ads/library/?id=1334359225082047</t>
        </is>
      </c>
    </row>
    <row r="130">
      <c r="A130" s="5" t="n">
        <v>109</v>
      </c>
      <c r="B130" s="5" t="inlineStr">
        <is>
          <t>Kohinoor Kaleido</t>
        </is>
      </c>
      <c r="C130" s="5" t="inlineStr">
        <is>
          <t>Real Estate Developer (Location-Piggyback)</t>
        </is>
      </c>
      <c r="D130" s="5" t="inlineStr">
        <is>
          <t>Phoenix Marketcity Pune</t>
        </is>
      </c>
      <c r="E130" s="5" t="inlineStr">
        <is>
          <t>Pune</t>
        </is>
      </c>
      <c r="F130" s="5" t="inlineStr">
        <is>
          <t>LIVE</t>
        </is>
      </c>
      <c r="G130" s="5" t="inlineStr">
        <is>
          <t>3 Aug 2026</t>
        </is>
      </c>
      <c r="H130" s="5" t="n">
        <v>30</v>
      </c>
      <c r="I130" s="5" t="inlineStr">
        <is>
          <t>Mid Flight (30-59d)</t>
        </is>
      </c>
      <c r="J130" s="5" t="inlineStr">
        <is>
          <t>Learn More</t>
        </is>
      </c>
      <c r="K130" s="6" t="inlineStr">
        <is>
          <t>Elevated Living in 𝟐 &amp; 𝟑 𝐁𝐞𝐝 𝐏𝐫𝐞𝐦𝐢𝐮𝐦 𝐑𝐞𝐬𝐢𝐝𝐞𝐧𝐜𝐞𝐬with Dual Balconies, starting at ₹𝟏.𝟎𝟓 𝐂𝐫* – Happening Kharadi, Pune.</t>
        </is>
      </c>
      <c r="L130" s="6" t="inlineStr">
        <is>
          <t>Elevated Living in 𝟐 &amp; 𝟑 𝐁𝐞𝐝 𝐏𝐫𝐞𝐦𝐢𝐮𝐦 𝐑𝐞𝐬𝐢𝐝𝐞𝐧𝐜𝐞𝐬with Dual Balconies, starting at ₹𝟏.𝟎𝟓 𝐂𝐫* – Happening Kharadi, Pune.  • Premium residences in the heart of Happening Kharadi • 2-floor clubhouse with swimming pool, indoor &amp; outdoor gym, sports courts &amp; 25+ lifestyle amenities • EON IT Park, World Trade Center, Zensar &amp; Panchshil within easy reach • Phoenix Marketcity, Seasons Mall &amp; Amanora Mall nearby • Excellent connectivity to Nagar Road, Kharadi Bypass &amp; Pune Airport</t>
        </is>
      </c>
      <c r="M130" s="5" t="inlineStr">
        <is>
          <t>https://www.facebook.com/ads/library/?id=1296707095680790</t>
        </is>
      </c>
    </row>
    <row r="131">
      <c r="A131" s="7" t="n">
        <v>110</v>
      </c>
      <c r="B131" s="7" t="inlineStr">
        <is>
          <t>Triumph Motorcycles</t>
        </is>
      </c>
      <c r="C131" s="7" t="inlineStr">
        <is>
          <t>Other Advertiser (Event / Service / Direct-to-Consumer)</t>
        </is>
      </c>
      <c r="D131" s="7" t="inlineStr">
        <is>
          <t>The Pavillion Pune</t>
        </is>
      </c>
      <c r="E131" s="7" t="inlineStr">
        <is>
          <t>Pune</t>
        </is>
      </c>
      <c r="F131" s="7" t="inlineStr">
        <is>
          <t>LIVE</t>
        </is>
      </c>
      <c r="G131" s="7" t="inlineStr">
        <is>
          <t>3 Aug 2026</t>
        </is>
      </c>
      <c r="H131" s="7" t="n">
        <v>30</v>
      </c>
      <c r="I131" s="7" t="inlineStr">
        <is>
          <t>Mid Flight (30-59d)</t>
        </is>
      </c>
      <c r="J131" s="7" t="inlineStr">
        <is>
          <t>Learn More</t>
        </is>
      </c>
      <c r="K131" s="8" t="inlineStr">
        <is>
          <t>Bengaluru, Pune, Cochin, &amp; Chandigarh.</t>
        </is>
      </c>
      <c r="L131" s="8" t="inlineStr">
        <is>
          <t>Bengaluru, Pune, Cochin, &amp; Chandigarh. Unforgettable journeys for those who know the difference. Triumph Touring Experiences</t>
        </is>
      </c>
      <c r="M131" s="7" t="inlineStr">
        <is>
          <t>https://www.facebook.com/ads/library/?id=1727936388543963</t>
        </is>
      </c>
    </row>
    <row r="132">
      <c r="A132" s="5" t="n">
        <v>111</v>
      </c>
      <c r="B132" s="5" t="inlineStr">
        <is>
          <t>SK Fortune Group</t>
        </is>
      </c>
      <c r="C132" s="5" t="inlineStr">
        <is>
          <t>Real Estate Developer (Location-Piggyback)</t>
        </is>
      </c>
      <c r="D132" s="5" t="inlineStr">
        <is>
          <t>The Pavillion Pune</t>
        </is>
      </c>
      <c r="E132" s="5" t="inlineStr">
        <is>
          <t>Pune</t>
        </is>
      </c>
      <c r="F132" s="5" t="inlineStr">
        <is>
          <t>LIVE</t>
        </is>
      </c>
      <c r="G132" s="5" t="inlineStr">
        <is>
          <t>3 Aug 2026</t>
        </is>
      </c>
      <c r="H132" s="5" t="n">
        <v>30</v>
      </c>
      <c r="I132" s="5" t="inlineStr">
        <is>
          <t>Mid Flight (30-59d)</t>
        </is>
      </c>
      <c r="J132" s="5" t="inlineStr">
        <is>
          <t>Learn More</t>
        </is>
      </c>
      <c r="K132" s="6" t="inlineStr">
        <is>
          <t>Discover a rare opportunity to own a home at Prabhat Road through SK Fortune's exclusive residential portfolio.</t>
        </is>
      </c>
      <c r="L132" s="6" t="inlineStr">
        <is>
          <t>Discover a rare opportunity to own a home at Prabhat Road through SK Fortune's exclusive residential portfolio.  ✅ Premium 2, 3 &amp; 4 BHK Residences ✅ One of Pune's Most Prestigious Addresses  Register your interest today. PUNECENTRAL.SKFORTUNEGROUP.COM 2, 3 &amp; 4 BHK Luxury Homes Premium Residences at Prabhat Road</t>
        </is>
      </c>
      <c r="M132" s="5" t="inlineStr">
        <is>
          <t>https://www.facebook.com/ads/library/?id=1382532777163282</t>
        </is>
      </c>
    </row>
    <row r="133">
      <c r="A133" s="7" t="n">
        <v>112</v>
      </c>
      <c r="B133" s="7" t="inlineStr">
        <is>
          <t>Rohan Builders India</t>
        </is>
      </c>
      <c r="C133" s="7" t="inlineStr">
        <is>
          <t>Real Estate Developer (Location-Piggyback)</t>
        </is>
      </c>
      <c r="D133" s="7" t="inlineStr">
        <is>
          <t>Phoenix Marketcity Pune</t>
        </is>
      </c>
      <c r="E133" s="7" t="inlineStr">
        <is>
          <t>Pune</t>
        </is>
      </c>
      <c r="F133" s="7" t="inlineStr">
        <is>
          <t>LIVE</t>
        </is>
      </c>
      <c r="G133" s="7" t="inlineStr">
        <is>
          <t>5 Aug 2026</t>
        </is>
      </c>
      <c r="H133" s="7" t="n">
        <v>28</v>
      </c>
      <c r="I133" s="7" t="inlineStr">
        <is>
          <t>Fresh Test (&lt;30d)</t>
        </is>
      </c>
      <c r="J133" s="7" t="inlineStr">
        <is>
          <t>Learn More</t>
        </is>
      </c>
      <c r="K133" s="8" t="inlineStr">
        <is>
          <t>✨ Avail No Pre-EMI till completion offer at Rohan Abhilasha 4, Wagholi.</t>
        </is>
      </c>
      <c r="L133" s="8"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Chat with us A Pr</t>
        </is>
      </c>
      <c r="M133" s="7" t="inlineStr">
        <is>
          <t>https://www.facebook.com/ads/library/?id=1013522981503190</t>
        </is>
      </c>
    </row>
    <row r="134">
      <c r="A134" s="5" t="n">
        <v>113</v>
      </c>
      <c r="B134" s="5" t="inlineStr">
        <is>
          <t>Rohan Builders India</t>
        </is>
      </c>
      <c r="C134" s="5" t="inlineStr">
        <is>
          <t>Real Estate Developer (Location-Piggyback)</t>
        </is>
      </c>
      <c r="D134" s="5" t="inlineStr">
        <is>
          <t>Phoenix Marketcity Pune</t>
        </is>
      </c>
      <c r="E134" s="5" t="inlineStr">
        <is>
          <t>Pune</t>
        </is>
      </c>
      <c r="F134" s="5" t="inlineStr">
        <is>
          <t>LIVE</t>
        </is>
      </c>
      <c r="G134" s="5" t="inlineStr">
        <is>
          <t>6 Aug 2026</t>
        </is>
      </c>
      <c r="H134" s="5" t="n">
        <v>27</v>
      </c>
      <c r="I134" s="5" t="inlineStr">
        <is>
          <t>Fresh Test (&lt;30d)</t>
        </is>
      </c>
      <c r="J134" s="5" t="inlineStr">
        <is>
          <t>Learn More</t>
        </is>
      </c>
      <c r="K134" s="6" t="inlineStr">
        <is>
          <t>✨ Avail No Pre-EMI till completion offer at Rohan Abhilasha 4, Wagholi.</t>
        </is>
      </c>
      <c r="L134" s="6"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Chat with us A Pr</t>
        </is>
      </c>
      <c r="M134" s="5" t="inlineStr">
        <is>
          <t>https://www.facebook.com/ads/library/?id=1355899066652665</t>
        </is>
      </c>
    </row>
    <row r="135">
      <c r="A135" s="7" t="n">
        <v>114</v>
      </c>
      <c r="B135" s="7" t="inlineStr">
        <is>
          <t>New Launch In Pune</t>
        </is>
      </c>
      <c r="C135" s="7" t="inlineStr">
        <is>
          <t>Other Advertiser (Event / Service / Direct-to-Consumer)</t>
        </is>
      </c>
      <c r="D135" s="7" t="inlineStr">
        <is>
          <t>Phoenix Mall of the Millennium Wakad</t>
        </is>
      </c>
      <c r="E135" s="7" t="inlineStr">
        <is>
          <t>Pune</t>
        </is>
      </c>
      <c r="F135" s="7" t="inlineStr">
        <is>
          <t>LIVE</t>
        </is>
      </c>
      <c r="G135" s="7" t="inlineStr">
        <is>
          <t>6 Aug 2026</t>
        </is>
      </c>
      <c r="H135" s="7" t="n">
        <v>27</v>
      </c>
      <c r="I135" s="7" t="inlineStr">
        <is>
          <t>Fresh Test (&lt;30d)</t>
        </is>
      </c>
      <c r="J135" s="7" t="inlineStr">
        <is>
          <t>Learn More</t>
        </is>
      </c>
      <c r="K135" s="8" t="inlineStr">
        <is>
          <t>📍 Prime Location – Wakad, Pune: ✔ Mumbai–Bangalore Highway (NH-48) – 1 min ✔ Wakad–Hinjewadi Road – 5 mins ✔ Hinjewadi I</t>
        </is>
      </c>
      <c r="L135" s="8" t="inlineStr">
        <is>
          <t>📍 Prime Location – Wakad, Pune: ✔ Mumbai–Bangalore Highway (NH-48) – 1 min ✔ Wakad–Hinjewadi Road – 5 mins ✔ Hinjewadi IT Park – 10 mins ✔ Baner–Balewadi High Street – 15 mins ✔ Vision One Mall – 6 mins ✔ Phoenix Mall of the Millennium – 10 mins ✔ Elevated Gym with Scenic Views ✔ Swimming Pool ✔ Landscaped Gardens &amp; Jogging Track ✔ Indoor &amp; Outdoor Games Zones ✔ Grand Clubhous  📞 Enquire Now 0:00 / 0:00 ​ Active</t>
        </is>
      </c>
      <c r="M135" s="7" t="inlineStr">
        <is>
          <t>https://www.facebook.com/ads/library/?id=4408794812728242</t>
        </is>
      </c>
    </row>
    <row r="136">
      <c r="A136" s="5" t="n">
        <v>115</v>
      </c>
      <c r="B136" s="5" t="inlineStr">
        <is>
          <t>Tathawade - Wakad New Launch</t>
        </is>
      </c>
      <c r="C136" s="5" t="inlineStr">
        <is>
          <t>Real Estate Developer (Location-Piggyback)</t>
        </is>
      </c>
      <c r="D136" s="5" t="inlineStr">
        <is>
          <t>Phoenix Mall of the Millennium Wakad</t>
        </is>
      </c>
      <c r="E136" s="5" t="inlineStr">
        <is>
          <t>Pune</t>
        </is>
      </c>
      <c r="F136" s="5" t="inlineStr">
        <is>
          <t>off</t>
        </is>
      </c>
      <c r="G136" s="5" t="inlineStr">
        <is>
          <t>6 Aug 2026</t>
        </is>
      </c>
      <c r="H136" s="5" t="n">
        <v>27</v>
      </c>
      <c r="I136" s="5" t="inlineStr">
        <is>
          <t>Fresh Test (&lt;30d)</t>
        </is>
      </c>
      <c r="J136" s="5" t="inlineStr">
        <is>
          <t>Learn More</t>
        </is>
      </c>
      <c r="K136" s="6" t="inlineStr">
        <is>
          <t>2, 2.5, 3 BHK Premium Residences in Tathawade *Unit Plan/Video for representation purpose only.</t>
        </is>
      </c>
      <c r="L136" s="6" t="inlineStr">
        <is>
          <t>2, 2.5, 3 BHK Premium Residences in Tathawade *Unit Plan/Video for representation purpose only. Visit site for project details.  ➦ Premium 2 BHK : 87 Lacs onwards | 3 BHK : 1.13 cr onwards ➦ Panoramic 360° Views ➦ 500m Skywalk Rooftop Loop ➦ Rooftop Amenities with Skygarden, Multiple Celebration Zones, Guest Suites, Smart Home Automation and Grand Double Height Entrance Lobby ➦ Most Spacious Kitchen Layout ➦ Phoenix Mall of the Millennium, Bhumkar Chowk, JPSM-Indira-Dr. DY Patil-Balaji Colleges,</t>
        </is>
      </c>
      <c r="M136" s="5" t="inlineStr">
        <is>
          <t>https://www.facebook.com/ads/library/?id=1565317655062789</t>
        </is>
      </c>
    </row>
    <row r="137">
      <c r="A137" s="7" t="n">
        <v>116</v>
      </c>
      <c r="B137" s="7" t="inlineStr">
        <is>
          <t>Premium Home Pune</t>
        </is>
      </c>
      <c r="C137" s="7" t="inlineStr">
        <is>
          <t>Real Estate Developer (Location-Piggyback)</t>
        </is>
      </c>
      <c r="D137" s="7" t="inlineStr">
        <is>
          <t>Seasons Mall Pune</t>
        </is>
      </c>
      <c r="E137" s="7" t="inlineStr">
        <is>
          <t>Pune</t>
        </is>
      </c>
      <c r="F137" s="7" t="inlineStr">
        <is>
          <t>LIVE</t>
        </is>
      </c>
      <c r="G137" s="7" t="inlineStr">
        <is>
          <t>6 Aug 2026</t>
        </is>
      </c>
      <c r="H137" s="7" t="n">
        <v>27</v>
      </c>
      <c r="I137" s="7" t="inlineStr">
        <is>
          <t>Fresh Test (&lt;30d)</t>
        </is>
      </c>
      <c r="J137" s="7" t="inlineStr">
        <is>
          <t>Learn More</t>
        </is>
      </c>
      <c r="K137" s="8" t="inlineStr">
        <is>
          <t xml:space="preserve">🏡 Landmarc by Saheel – Luxury 2 &amp; 3 BHK Apartments in Hinjewadi Phase 3, Pune </t>
        </is>
      </c>
      <c r="L137" s="8" t="inlineStr">
        <is>
          <t>🏡 Landmarc by Saheel – Luxury 2 &amp; 3 BHK Apartments in Hinjewadi Phase 3, Pune | Starting ₹93 L*  Say hello to modern IT-corridor living. Landmarc by Saheel, located in Hinjewadi Phase 3, is a contemporary residential development by Saheel Properties, offering thoughtfully designed 2 &amp; 3 BHK apartments with ultra-modern architecture and functional layouts — ideal for professionals and families alike. With strategic proximity to Hinjewadi's tech parks and upcoming metro corridors, this is seamles</t>
        </is>
      </c>
      <c r="M137" s="7" t="inlineStr">
        <is>
          <t>https://www.facebook.com/ads/library/?id=2504546500025149</t>
        </is>
      </c>
    </row>
    <row r="138">
      <c r="A138" s="5" t="n">
        <v>117</v>
      </c>
      <c r="B138" s="5" t="inlineStr">
        <is>
          <t>Premium Home Pune</t>
        </is>
      </c>
      <c r="C138" s="5" t="inlineStr">
        <is>
          <t>Real Estate Developer (Location-Piggyback)</t>
        </is>
      </c>
      <c r="D138" s="5" t="inlineStr">
        <is>
          <t>Seasons Mall Pune</t>
        </is>
      </c>
      <c r="E138" s="5" t="inlineStr">
        <is>
          <t>Pune</t>
        </is>
      </c>
      <c r="F138" s="5" t="inlineStr">
        <is>
          <t>LIVE</t>
        </is>
      </c>
      <c r="G138" s="5" t="inlineStr">
        <is>
          <t>6 Aug 2026</t>
        </is>
      </c>
      <c r="H138" s="5" t="n">
        <v>27</v>
      </c>
      <c r="I138" s="5" t="inlineStr">
        <is>
          <t>Fresh Test (&lt;30d)</t>
        </is>
      </c>
      <c r="J138" s="5" t="inlineStr">
        <is>
          <t>Learn More</t>
        </is>
      </c>
      <c r="K138" s="6" t="inlineStr">
        <is>
          <t xml:space="preserve">🏡 Landmarc by Saheel – Luxury 2 &amp; 3 BHK Apartments in Hinjewadi Phase 3, Pune </t>
        </is>
      </c>
      <c r="L138" s="6" t="inlineStr">
        <is>
          <t>🏡 Landmarc by Saheel – Luxury 2 &amp; 3 BHK Apartments in Hinjewadi Phase 3, Pune | Starting ₹93 L*  Say hello to modern IT-corridor living. Landmarc by Saheel, located in Hinjewadi Phase 3, is a contemporary residential development by Saheel Properties, offering thoughtfully designed 2 &amp; 3 BHK apartments with ultra-modern architecture and functional layouts — ideal for professionals and families alike. With strategic proximity to Hinjewadi's tech parks and upcoming metro corridors, this is seamles</t>
        </is>
      </c>
      <c r="M138" s="5" t="inlineStr">
        <is>
          <t>https://www.facebook.com/ads/library/?id=1608232730860812</t>
        </is>
      </c>
    </row>
    <row r="139">
      <c r="A139" s="7" t="n">
        <v>118</v>
      </c>
      <c r="B139" s="7" t="inlineStr">
        <is>
          <t>Premium Home Pune</t>
        </is>
      </c>
      <c r="C139" s="7" t="inlineStr">
        <is>
          <t>Real Estate Developer (Location-Piggyback)</t>
        </is>
      </c>
      <c r="D139" s="7" t="inlineStr">
        <is>
          <t>Seasons Mall Pune</t>
        </is>
      </c>
      <c r="E139" s="7" t="inlineStr">
        <is>
          <t>Pune</t>
        </is>
      </c>
      <c r="F139" s="7" t="inlineStr">
        <is>
          <t>LIVE</t>
        </is>
      </c>
      <c r="G139" s="7" t="inlineStr">
        <is>
          <t>6 Aug 2026</t>
        </is>
      </c>
      <c r="H139" s="7" t="n">
        <v>27</v>
      </c>
      <c r="I139" s="7" t="inlineStr">
        <is>
          <t>Fresh Test (&lt;30d)</t>
        </is>
      </c>
      <c r="J139" s="7" t="inlineStr">
        <is>
          <t>Learn More</t>
        </is>
      </c>
      <c r="K139" s="8" t="inlineStr">
        <is>
          <t xml:space="preserve">🏡 Landmarc by Saheel – Luxury 2 &amp; 3 BHK Apartments in Hinjewadi Phase 3, Pune </t>
        </is>
      </c>
      <c r="L139" s="8" t="inlineStr">
        <is>
          <t>🏡 Landmarc by Saheel – Luxury 2 &amp; 3 BHK Apartments in Hinjewadi Phase 3, Pune | Starting ₹93 L*  Say hello to modern IT-corridor living. Landmarc by Saheel, located in Hinjewadi Phase 3, is a contemporary residential development by Saheel Properties, offering thoughtfully designed 2 &amp; 3 BHK apartments with ultra-modern architecture and functional layouts — ideal for professionals and families alike. With strategic proximity to Hinjewadi's tech parks and upcoming metro corridors, this is seamles</t>
        </is>
      </c>
      <c r="M139" s="7" t="inlineStr">
        <is>
          <t>https://www.facebook.com/ads/library/?id=1872248740823697</t>
        </is>
      </c>
    </row>
    <row r="140">
      <c r="A140" s="5" t="n">
        <v>119</v>
      </c>
      <c r="B140" s="5" t="inlineStr">
        <is>
          <t>Premium Home Pune</t>
        </is>
      </c>
      <c r="C140" s="5" t="inlineStr">
        <is>
          <t>Real Estate Developer (Location-Piggyback)</t>
        </is>
      </c>
      <c r="D140" s="5" t="inlineStr">
        <is>
          <t>Seasons Mall Pune</t>
        </is>
      </c>
      <c r="E140" s="5" t="inlineStr">
        <is>
          <t>Pune</t>
        </is>
      </c>
      <c r="F140" s="5" t="inlineStr">
        <is>
          <t>LIVE</t>
        </is>
      </c>
      <c r="G140" s="5" t="inlineStr">
        <is>
          <t>6 Aug 2026</t>
        </is>
      </c>
      <c r="H140" s="5" t="n">
        <v>27</v>
      </c>
      <c r="I140" s="5" t="inlineStr">
        <is>
          <t>Fresh Test (&lt;30d)</t>
        </is>
      </c>
      <c r="J140" s="5" t="inlineStr">
        <is>
          <t>Learn More</t>
        </is>
      </c>
      <c r="K140" s="6" t="inlineStr">
        <is>
          <t xml:space="preserve">🏡 Landmarc by Saheel – Luxury 2 &amp; 3 BHK Apartments in Hinjewadi Phase 3, Pune </t>
        </is>
      </c>
      <c r="L140" s="6" t="inlineStr">
        <is>
          <t>🏡 Landmarc by Saheel – Luxury 2 &amp; 3 BHK Apartments in Hinjewadi Phase 3, Pune | Starting ₹93 L*  Say hello to modern IT-corridor living. Landmarc by Saheel, located in Hinjewadi Phase 3, is a contemporary residential development by Saheel Properties, offering thoughtfully designed 2 &amp; 3 BHK apartments with ultra-modern architecture and functional layouts — ideal for professionals and families alike. With strategic proximity to Hinjewadi's tech parks and upcoming metro corridors, this is seamles</t>
        </is>
      </c>
      <c r="M140" s="5" t="inlineStr">
        <is>
          <t>https://www.facebook.com/ads/library/?id=1311646884115546</t>
        </is>
      </c>
    </row>
    <row r="141">
      <c r="A141" s="7" t="n">
        <v>120</v>
      </c>
      <c r="B141" s="7" t="inlineStr">
        <is>
          <t>JLK REALTORS</t>
        </is>
      </c>
      <c r="C141" s="7" t="inlineStr">
        <is>
          <t>Real Estate Developer (Location-Piggyback)</t>
        </is>
      </c>
      <c r="D141" s="7" t="inlineStr">
        <is>
          <t>Amanora Mall Pune</t>
        </is>
      </c>
      <c r="E141" s="7" t="inlineStr">
        <is>
          <t>Pune</t>
        </is>
      </c>
      <c r="F141" s="7" t="inlineStr">
        <is>
          <t>LIVE</t>
        </is>
      </c>
      <c r="G141" s="7" t="inlineStr">
        <is>
          <t>6 Aug 2026</t>
        </is>
      </c>
      <c r="H141" s="7" t="n">
        <v>27</v>
      </c>
      <c r="I141" s="7" t="inlineStr">
        <is>
          <t>Fresh Test (&lt;30d)</t>
        </is>
      </c>
      <c r="J141" s="7" t="inlineStr">
        <is>
          <t>Learn More</t>
        </is>
      </c>
      <c r="K141" s="8" t="inlineStr">
        <is>
          <t>Still paying ₹40,000–₹50,000 every month in rent ?</t>
        </is>
      </c>
      <c r="L141" s="8" t="inlineStr">
        <is>
          <t>Still paying ₹40,000–₹50,000 every month in rent ?  Imagine putting that money towards a home you can call your own.  Discover Kumar 47 East on Hadapsar Link Road.  Available Configurations  🏡 3 BHK | 1120 Sq.ft Carpet | Starting from ₹1.37 Cr* 🏡 3 BHK | 1221 Sq.ft Carpet | Starting from ₹1.50 Cr* 🏡 3 BHK | 1232 Sq.ft Carpet | Starting from ₹1.51 Cr*  ✔ Near Magarpatta, EON IT Park &amp; WTC ✔ Only 3 Homes Per Floor ✔ 3 Dedicated Lifts ✔ 14+ Lifestyle Amenities ✔ 70% Construction Completed ✔ Expe</t>
        </is>
      </c>
      <c r="M141" s="7" t="inlineStr">
        <is>
          <t>https://www.facebook.com/ads/library/?id=1030590879580536</t>
        </is>
      </c>
    </row>
    <row r="142">
      <c r="A142" s="5" t="n">
        <v>121</v>
      </c>
      <c r="B142" s="5" t="inlineStr">
        <is>
          <t>Luxurious Residential Properties</t>
        </is>
      </c>
      <c r="C142" s="5" t="inlineStr">
        <is>
          <t>Real Estate Developer (Location-Piggyback)</t>
        </is>
      </c>
      <c r="D142" s="5" t="inlineStr">
        <is>
          <t>Phoenix Marketcity Pune</t>
        </is>
      </c>
      <c r="E142" s="5" t="inlineStr">
        <is>
          <t>Pune</t>
        </is>
      </c>
      <c r="F142" s="5" t="inlineStr">
        <is>
          <t>LIVE</t>
        </is>
      </c>
      <c r="G142" s="5" t="inlineStr">
        <is>
          <t>7 Aug 2026</t>
        </is>
      </c>
      <c r="H142" s="5" t="n">
        <v>26</v>
      </c>
      <c r="I142" s="5" t="inlineStr">
        <is>
          <t>Fresh Test (&lt;30d)</t>
        </is>
      </c>
      <c r="J142" s="5" t="inlineStr">
        <is>
          <t>Learn More</t>
        </is>
      </c>
      <c r="K142" s="6" t="inlineStr">
        <is>
          <t>சென்னை, அசோக் நகரில் ₹ 2.55 கோடி முதல் தொடங்கும் 3 BHK லக்ஸுரி அபார்ட்மெண்ட்ஸ் பூட்டிக் லக்ஸுரி.</t>
        </is>
      </c>
      <c r="L142" s="6" t="inlineStr">
        <is>
          <t>சென்னை, அசோக் நகரில் ₹ 2.55 கோடி முதல் தொடங்கும் 3 BHK லக்ஸுரி அபார்ட்மெண்ட்ஸ் பூட்டிக் லக்ஸுரி. நகரின் பிரதான வாழ்க்கை. காலத்தால் அழியாத நேர்த்தி. விசாலமான வடிவமைப்பு, உயர்தர வசதிகள் மற்றும் சென்னையின் முக்கிய வாழ்க்கைமுறை மையங்களுக்கு சிறந்த இணைப்புடன் கூடிய பிரத்யேக பூட்டிக் குடியிருப்பில் ஆடம்பரமான வாழ்க்கையை அனுபவிக்குங்கள்.  ⭐ திட்ட சிறப்பம்சங்கள்  ✔️ பிரீமியம் 3 BHK குடியிருப்புகள் ✔️ வெறும் 17 அபார்ட்மெண்ட்கள் கொண்ட பிரத்யேக திட்டம் ✔️ 0.18 ஏக்கரில் அமைந்துள்ள பூட்டிக் குடியிருப்பு ✔️ 1,</t>
        </is>
      </c>
      <c r="M142" s="5" t="inlineStr">
        <is>
          <t>https://www.facebook.com/ads/library/?id=1462059655942130</t>
        </is>
      </c>
    </row>
    <row r="143">
      <c r="A143" s="7" t="n">
        <v>122</v>
      </c>
      <c r="B143" s="7" t="inlineStr">
        <is>
          <t>Goyal Properties</t>
        </is>
      </c>
      <c r="C143" s="7" t="inlineStr">
        <is>
          <t>Real Estate Developer (Location-Piggyback)</t>
        </is>
      </c>
      <c r="D143" s="7" t="inlineStr">
        <is>
          <t>The Pavillion Pune</t>
        </is>
      </c>
      <c r="E143" s="7" t="inlineStr">
        <is>
          <t>Pune</t>
        </is>
      </c>
      <c r="F143" s="7" t="inlineStr">
        <is>
          <t>LIVE</t>
        </is>
      </c>
      <c r="G143" s="7" t="inlineStr">
        <is>
          <t>7 Aug 2026</t>
        </is>
      </c>
      <c r="H143" s="7" t="n">
        <v>26</v>
      </c>
      <c r="I143" s="7" t="inlineStr">
        <is>
          <t>Fresh Test (&lt;30d)</t>
        </is>
      </c>
      <c r="J143" s="7" t="inlineStr">
        <is>
          <t>Learn More</t>
        </is>
      </c>
      <c r="K143" s="8" t="inlineStr">
        <is>
          <t>🏢 Premium 2 &amp; 3 BHK homes 📍Mamurdi , near Mumbai–Pune Expressway 🔐EOI Started  Project Highlights:  🚗 Excellent Connecti</t>
        </is>
      </c>
      <c r="L143" s="8" t="inlineStr">
        <is>
          <t>🏢 Premium 2 &amp; 3 BHK homes 📍Mamurdi , near Mumbai–Pune Expressway 🔐EOI Started  Project Highlights:  🚗 Excellent Connectivity: Easy access to Wakad, Tathawade, Hinjawadi &amp; PCMC 🛋️ Project spans a large land parcel of 26 acres 🌿 Lifestyle Amenities: Clubhouse, landscaped gardens &amp; open spaces 👶 Family-Friendly: Children’s play area &amp; senior citizen spaces 🧘 Wellness Focused: Jogging track, yoga &amp; relaxation zones 🛕 Temple Within the Project: Dedicated peaceful space for daily worship 🏗️</t>
        </is>
      </c>
      <c r="M143" s="7" t="inlineStr">
        <is>
          <t>https://www.facebook.com/ads/library/?id=1544247840718710</t>
        </is>
      </c>
    </row>
    <row r="144">
      <c r="A144" s="5" t="n">
        <v>123</v>
      </c>
      <c r="B144" s="5" t="inlineStr">
        <is>
          <t>Top Launches in Pune</t>
        </is>
      </c>
      <c r="C144" s="5" t="inlineStr">
        <is>
          <t>Real Estate Developer (Location-Piggyback)</t>
        </is>
      </c>
      <c r="D144" s="5" t="inlineStr">
        <is>
          <t>Seasons Mall Pune</t>
        </is>
      </c>
      <c r="E144" s="5" t="inlineStr">
        <is>
          <t>Pune</t>
        </is>
      </c>
      <c r="F144" s="5" t="inlineStr">
        <is>
          <t>LIVE</t>
        </is>
      </c>
      <c r="G144" s="5" t="inlineStr">
        <is>
          <t>7 Aug 2026</t>
        </is>
      </c>
      <c r="H144" s="5" t="n">
        <v>26</v>
      </c>
      <c r="I144" s="5" t="inlineStr">
        <is>
          <t>Fresh Test (&lt;30d)</t>
        </is>
      </c>
      <c r="J144" s="5" t="inlineStr">
        <is>
          <t>Learn More</t>
        </is>
      </c>
      <c r="K144" s="6" t="inlineStr">
        <is>
          <t>📍 Magarpatta, Pune  🏡 Premium 3 BHK &amp; 4 BHK Spacious Homes 🤖 AI-Enabled Smart Home Automation 🏊 25+ World-class Lifestyl</t>
        </is>
      </c>
      <c r="L144" s="6" t="inlineStr">
        <is>
          <t>📍 Magarpatta, Pune  🏡 Premium 3 BHK &amp; 4 BHK Spacious Homes 🤖 AI-Enabled Smart Home Automation 🏊 25+ World-class Lifestyle Amenities 🚿 Premium Quality Sanitary Fittings 💼 5 Minutes from Seasons Mall 🚗Strong connectivity with upcoming infrastructure 0:00 / 0:45 FB.ME Enjoy Special Festive Benefits on Every Booking</t>
        </is>
      </c>
      <c r="M144" s="5" t="inlineStr">
        <is>
          <t>https://www.facebook.com/ads/library/?id=1575863930851027</t>
        </is>
      </c>
    </row>
    <row r="145">
      <c r="A145" s="7" t="n">
        <v>124</v>
      </c>
      <c r="B145" s="7" t="inlineStr">
        <is>
          <t>XMedia Hub</t>
        </is>
      </c>
      <c r="C145" s="7" t="inlineStr">
        <is>
          <t>Other Advertiser (Event / Service / Direct-to-Consumer)</t>
        </is>
      </c>
      <c r="D145" s="7" t="inlineStr">
        <is>
          <t>Nexus Hyderabad Mall</t>
        </is>
      </c>
      <c r="E145" s="7" t="inlineStr">
        <is>
          <t>Hyderabad</t>
        </is>
      </c>
      <c r="F145" s="7" t="inlineStr">
        <is>
          <t>off</t>
        </is>
      </c>
      <c r="G145" s="7" t="inlineStr">
        <is>
          <t>7 Aug 2026</t>
        </is>
      </c>
      <c r="H145" s="7" t="n">
        <v>26</v>
      </c>
      <c r="I145" s="7" t="inlineStr">
        <is>
          <t>Fresh Test (&lt;30d)</t>
        </is>
      </c>
      <c r="J145" s="7" t="inlineStr">
        <is>
          <t>Learn More</t>
        </is>
      </c>
      <c r="K145" s="8" t="inlineStr">
        <is>
          <t>We're Hiring: Content Production Intern (Paid Internship) Love creating videos?</t>
        </is>
      </c>
      <c r="L145" s="8" t="inlineStr">
        <is>
          <t>We're Hiring: Content Production Intern (Paid Internship) Love creating videos? Passionate about editing, shooting, and storytelling? This is your chance to turn your creativity into a career! Join XMediaHub as a Content Production Intern and gain real-world experience working on exciting client projects alongside an experienced creative team. What you'll learn:  🎥 Professional Video Editing 📸 Camera Shooting &amp; Composition 🎬 Content Production Workflow 🤝 Client Communication 💼 Hands-on expe</t>
        </is>
      </c>
      <c r="M145" s="7" t="inlineStr">
        <is>
          <t>https://www.facebook.com/ads/library/?id=1617384349802873</t>
        </is>
      </c>
    </row>
    <row r="146">
      <c r="A146" s="5" t="n">
        <v>125</v>
      </c>
      <c r="B146" s="5" t="inlineStr">
        <is>
          <t>Trade Nexus Research</t>
        </is>
      </c>
      <c r="C146" s="5" t="inlineStr">
        <is>
          <t>Mall / Landlord (Direct Competitor)</t>
        </is>
      </c>
      <c r="D146" s="5" t="inlineStr">
        <is>
          <t>Nexus Hyderabad Mall</t>
        </is>
      </c>
      <c r="E146" s="5" t="inlineStr">
        <is>
          <t>Hyderabad</t>
        </is>
      </c>
      <c r="F146" s="5" t="inlineStr">
        <is>
          <t>off</t>
        </is>
      </c>
      <c r="G146" s="5" t="inlineStr">
        <is>
          <t>7 Aug 2026</t>
        </is>
      </c>
      <c r="H146" s="5" t="n">
        <v>26</v>
      </c>
      <c r="I146" s="5" t="inlineStr">
        <is>
          <t>Fresh Test (&lt;30d)</t>
        </is>
      </c>
      <c r="J146" s="5" t="inlineStr">
        <is>
          <t>Learn More</t>
        </is>
      </c>
      <c r="K146" s="6" t="inlineStr">
        <is>
          <t>Frustrated with inconsistent intraday trades?</t>
        </is>
      </c>
      <c r="L146" s="6" t="inlineStr">
        <is>
          <t>Frustrated with inconsistent intraday trades? Trade Nexus Research provides research-backed intraday call recommendations to help you cut the noise and stay focused. We're not a training institute — we're a SEBI-registered advisory built for real traders facing real market chaos.  🎯 Stop second-guessing. Start trading with clarity.  Disclaimer: Investments in securities market are subject to market risks, read all the related documents carefully before investing. 0:00 / 0:42 FB.ME Trade with Di</t>
        </is>
      </c>
      <c r="M146" s="5" t="inlineStr">
        <is>
          <t>https://www.facebook.com/ads/library/?id=2190931364785908</t>
        </is>
      </c>
    </row>
    <row r="147">
      <c r="A147" s="7" t="n">
        <v>126</v>
      </c>
      <c r="B147" s="7" t="inlineStr">
        <is>
          <t>Krishnapatnam</t>
        </is>
      </c>
      <c r="C147" s="7" t="inlineStr">
        <is>
          <t>Other Advertiser (Event / Service / Direct-to-Consumer)</t>
        </is>
      </c>
      <c r="D147" s="7" t="inlineStr">
        <is>
          <t>Sarath City Capital Mall</t>
        </is>
      </c>
      <c r="E147" s="7" t="inlineStr">
        <is>
          <t>Hyderabad</t>
        </is>
      </c>
      <c r="F147" s="7" t="inlineStr">
        <is>
          <t>LIVE</t>
        </is>
      </c>
      <c r="G147" s="7" t="inlineStr">
        <is>
          <t>7 Aug 2026</t>
        </is>
      </c>
      <c r="H147" s="7" t="n">
        <v>26</v>
      </c>
      <c r="I147" s="7" t="inlineStr">
        <is>
          <t>Fresh Test (&lt;30d)</t>
        </is>
      </c>
      <c r="J147" s="7" t="inlineStr">
        <is>
          <t>Learn More</t>
        </is>
      </c>
      <c r="K147" s="8" t="inlineStr">
        <is>
          <t>The Great Indian Monsoon Festival is finally live!</t>
        </is>
      </c>
      <c r="L147" s="8" t="inlineStr">
        <is>
          <t>The Great Indian Monsoon Festival is finally live! 🌧️ Come experience Telugu flavours elevated for the season, with specially curated monsoon specials made to satisfy every rainy-day craving.  Only till September 30th. Drop by Krishnapatnam and savour the season.  Our Branches: JUBLIEE HILLS: 9169695566 NEXUS MALL: 9169693344 AMB SARATH CITY CAPITAL MALL: 9117445566,9117667788 KOTHAPET: 917559778899,916913778899 . . . . . #krishnapatnam #thegreatindianmonsoonfestival #authentickitchenandbar #so</t>
        </is>
      </c>
      <c r="M147" s="7" t="inlineStr">
        <is>
          <t>https://www.facebook.com/ads/library/?id=1325801116202990</t>
        </is>
      </c>
    </row>
    <row r="148">
      <c r="A148" s="5" t="n">
        <v>127</v>
      </c>
      <c r="B148" s="5" t="inlineStr">
        <is>
          <t>Samsung</t>
        </is>
      </c>
      <c r="C148" s="5" t="inlineStr">
        <is>
          <t>Other Advertiser (Event / Service / Direct-to-Consumer)</t>
        </is>
      </c>
      <c r="D148" s="5" t="inlineStr">
        <is>
          <t>Phoenix Marketcity Pune</t>
        </is>
      </c>
      <c r="E148" s="5" t="inlineStr">
        <is>
          <t>Pune</t>
        </is>
      </c>
      <c r="F148" s="5" t="inlineStr">
        <is>
          <t>LIVE</t>
        </is>
      </c>
      <c r="G148" s="5" t="inlineStr">
        <is>
          <t>8 Aug 2026</t>
        </is>
      </c>
      <c r="H148" s="5" t="n">
        <v>25</v>
      </c>
      <c r="I148" s="5" t="inlineStr">
        <is>
          <t>Fresh Test (&lt;30d)</t>
        </is>
      </c>
      <c r="J148" s="5" t="inlineStr">
        <is>
          <t>Sign Up</t>
        </is>
      </c>
      <c r="K148" s="6" t="inlineStr">
        <is>
          <t>The all-new Galaxy Z Fold8 Ultra and Fold8.</t>
        </is>
      </c>
      <c r="L148" s="6" t="inlineStr">
        <is>
          <t>The all-new Galaxy Z Fold8 Ultra and Fold8. Own now, starting at ₹ 4500/month.* Visit Samsung Experience Store, Phoenix Marketcity, Pune. Samsung Galaxy Foldables Own now at Samsung Stores Sign Up ​ Active</t>
        </is>
      </c>
      <c r="M148" s="5" t="inlineStr">
        <is>
          <t>https://www.facebook.com/ads/library/?id=2696508940743444</t>
        </is>
      </c>
    </row>
    <row r="149">
      <c r="A149" s="7" t="n">
        <v>128</v>
      </c>
      <c r="B149" s="7" t="inlineStr">
        <is>
          <t>Samsung</t>
        </is>
      </c>
      <c r="C149" s="7" t="inlineStr">
        <is>
          <t>Other Advertiser (Event / Service / Direct-to-Consumer)</t>
        </is>
      </c>
      <c r="D149" s="7" t="inlineStr">
        <is>
          <t>Phoenix Mall of the Millennium Wakad</t>
        </is>
      </c>
      <c r="E149" s="7" t="inlineStr">
        <is>
          <t>Pune</t>
        </is>
      </c>
      <c r="F149" s="7" t="inlineStr">
        <is>
          <t>LIVE</t>
        </is>
      </c>
      <c r="G149" s="7" t="inlineStr">
        <is>
          <t>8 Aug 2026</t>
        </is>
      </c>
      <c r="H149" s="7" t="n">
        <v>25</v>
      </c>
      <c r="I149" s="7" t="inlineStr">
        <is>
          <t>Fresh Test (&lt;30d)</t>
        </is>
      </c>
      <c r="J149" s="7" t="inlineStr">
        <is>
          <t>Sign Up</t>
        </is>
      </c>
      <c r="K149" s="8" t="inlineStr">
        <is>
          <t>The all-new Galaxy Z Fold8 Ultra and Fold8.</t>
        </is>
      </c>
      <c r="L149" s="8" t="inlineStr">
        <is>
          <t>The all-new Galaxy Z Fold8 Ultra and Fold8. Own now, starting at ₹ 4500/month.* Visit Samsung Experience Store, Phoenix Mall of the Millennium, Pune. Samsung Galaxy Foldables Own now at Samsung Stores Sign Up ​ Active</t>
        </is>
      </c>
      <c r="M149" s="7" t="inlineStr">
        <is>
          <t>https://www.facebook.com/ads/library/?id=2170781206826621</t>
        </is>
      </c>
    </row>
    <row r="150">
      <c r="A150" s="5" t="n">
        <v>129</v>
      </c>
      <c r="B150" s="5" t="inlineStr">
        <is>
          <t>GoBest Dentist</t>
        </is>
      </c>
      <c r="C150" s="5" t="inlineStr">
        <is>
          <t>Other Advertiser (Event / Service / Direct-to-Consumer)</t>
        </is>
      </c>
      <c r="D150" s="5" t="inlineStr">
        <is>
          <t>The Pavillion Pune</t>
        </is>
      </c>
      <c r="E150" s="5" t="inlineStr">
        <is>
          <t>Pune</t>
        </is>
      </c>
      <c r="F150" s="5" t="inlineStr">
        <is>
          <t>off</t>
        </is>
      </c>
      <c r="G150" s="5" t="inlineStr">
        <is>
          <t>8 Aug 2026</t>
        </is>
      </c>
      <c r="H150" s="5" t="n">
        <v>25</v>
      </c>
      <c r="I150" s="5" t="inlineStr">
        <is>
          <t>Fresh Test (&lt;30d)</t>
        </is>
      </c>
      <c r="J150" s="5" t="inlineStr">
        <is>
          <t>Learn More</t>
        </is>
      </c>
      <c r="K150" s="6" t="inlineStr">
        <is>
          <t>💥💥OFFER💥💥 Root Canal in Rs.</t>
        </is>
      </c>
      <c r="L150" s="6" t="inlineStr">
        <is>
          <t>💥💥OFFER💥💥 Root Canal in Rs. 2499 &amp; Teeth Cleaning in Rs. 499 Best Dental clinic in Pimpri-Chinchwad, Pune FREE DENTAL CHECKUP &amp; upto 50% OFF on all other treatments. 💥मोफत दंत तपासणी 🩺🦷🦷 आणि मिळवा 50% पर्यंत  सूट सर्व  दंत उपचार वर नोंदणी साठी त्वरित कॉल करा  7264889986   Visit -  https://www.gobestdentist.com  क्लिनिक  - आकुर्डी,  हिंजेवाडी, वाकड , बाणेर , पिे सौदागर,  खराडी  *T&amp;C Applied -Limited period offer.  #dentaloffer #dentist #RootCanal #gobestdentist #dentistnearme 0:00 / 0:10</t>
        </is>
      </c>
      <c r="M150" s="5" t="inlineStr">
        <is>
          <t>https://www.facebook.com/ads/library/?id=921806330326892</t>
        </is>
      </c>
    </row>
    <row r="151">
      <c r="A151" s="7" t="n">
        <v>130</v>
      </c>
      <c r="B151" s="7" t="inlineStr">
        <is>
          <t>Samsung</t>
        </is>
      </c>
      <c r="C151" s="7" t="inlineStr">
        <is>
          <t>Other Advertiser (Event / Service / Direct-to-Consumer)</t>
        </is>
      </c>
      <c r="D151" s="7" t="inlineStr">
        <is>
          <t>KOPA Mall Pune</t>
        </is>
      </c>
      <c r="E151" s="7" t="inlineStr">
        <is>
          <t>Pune</t>
        </is>
      </c>
      <c r="F151" s="7" t="inlineStr">
        <is>
          <t>LIVE</t>
        </is>
      </c>
      <c r="G151" s="7" t="inlineStr">
        <is>
          <t>8 Aug 2026</t>
        </is>
      </c>
      <c r="H151" s="7" t="n">
        <v>25</v>
      </c>
      <c r="I151" s="7" t="inlineStr">
        <is>
          <t>Fresh Test (&lt;30d)</t>
        </is>
      </c>
      <c r="J151" s="7" t="inlineStr">
        <is>
          <t>Sign Up</t>
        </is>
      </c>
      <c r="K151" s="8" t="inlineStr">
        <is>
          <t>The all-new Galaxy Z Fold8 Ultra and Fold8.</t>
        </is>
      </c>
      <c r="L151" s="8" t="inlineStr">
        <is>
          <t>The all-new Galaxy Z Fold8 Ultra and Fold8. Own now, starting at ₹ 4500/month.* Visit Samsung Experience Store, KOPA Mall, Pune. Samsung Galaxy Foldables Own now at Samsung Stores Sign Up ​ Active</t>
        </is>
      </c>
      <c r="M151" s="7" t="inlineStr">
        <is>
          <t>https://www.facebook.com/ads/library/?id=4762036660694082</t>
        </is>
      </c>
    </row>
    <row r="152">
      <c r="A152" s="5" t="n">
        <v>131</v>
      </c>
      <c r="B152" s="5" t="inlineStr">
        <is>
          <t>Samsung</t>
        </is>
      </c>
      <c r="C152" s="5" t="inlineStr">
        <is>
          <t>Other Advertiser (Event / Service / Direct-to-Consumer)</t>
        </is>
      </c>
      <c r="D152" s="5" t="inlineStr">
        <is>
          <t>Inorbit Mall Cyberabad</t>
        </is>
      </c>
      <c r="E152" s="5" t="inlineStr">
        <is>
          <t>Hyderabad</t>
        </is>
      </c>
      <c r="F152" s="5" t="inlineStr">
        <is>
          <t>LIVE</t>
        </is>
      </c>
      <c r="G152" s="5" t="inlineStr">
        <is>
          <t>8 Aug 2026</t>
        </is>
      </c>
      <c r="H152" s="5" t="n">
        <v>25</v>
      </c>
      <c r="I152" s="5" t="inlineStr">
        <is>
          <t>Fresh Test (&lt;30d)</t>
        </is>
      </c>
      <c r="J152" s="5" t="inlineStr">
        <is>
          <t>Sign Up</t>
        </is>
      </c>
      <c r="K152" s="6" t="inlineStr">
        <is>
          <t>The all-new Galaxy Z Fold8 Ultra and Fold8.</t>
        </is>
      </c>
      <c r="L152" s="6" t="inlineStr">
        <is>
          <t>The all-new Galaxy Z Fold8 Ultra and Fold8. Own now, starting at ₹ 4500/month.* Visit Samsung Experience Store, Inorbit Mall, Hyderabad. Samsung Galaxy Foldables Own now at Samsung Stores Sign Up ​ Active</t>
        </is>
      </c>
      <c r="M152" s="5" t="inlineStr">
        <is>
          <t>https://www.facebook.com/ads/library/?id=1525234425566930</t>
        </is>
      </c>
    </row>
    <row r="153">
      <c r="A153" s="7" t="n">
        <v>132</v>
      </c>
      <c r="B153" s="7" t="inlineStr">
        <is>
          <t>Luxurious Residential Properties</t>
        </is>
      </c>
      <c r="C153" s="7" t="inlineStr">
        <is>
          <t>Real Estate Developer (Location-Piggyback)</t>
        </is>
      </c>
      <c r="D153" s="7" t="inlineStr">
        <is>
          <t>Phoenix Marketcity Pune</t>
        </is>
      </c>
      <c r="E153" s="7" t="inlineStr">
        <is>
          <t>Pune</t>
        </is>
      </c>
      <c r="F153" s="7" t="inlineStr">
        <is>
          <t>LIVE</t>
        </is>
      </c>
      <c r="G153" s="7" t="inlineStr">
        <is>
          <t>10 Aug 2026</t>
        </is>
      </c>
      <c r="H153" s="7" t="n">
        <v>23</v>
      </c>
      <c r="I153" s="7" t="inlineStr">
        <is>
          <t>Fresh Test (&lt;30d)</t>
        </is>
      </c>
      <c r="J153" s="7" t="inlineStr">
        <is>
          <t>Learn More</t>
        </is>
      </c>
      <c r="K153" s="8" t="inlineStr">
        <is>
          <t>சென்னை, அசோக் நகரில் ₹ 2.55 கோடி முதல் தொடங்கும் 3 BHK லக்ஸுரி அபார்ட்மெண்ட்ஸ் பூட்டிக் லக்ஸுரி.</t>
        </is>
      </c>
      <c r="L153" s="8" t="inlineStr">
        <is>
          <t>சென்னை, அசோக் நகரில் ₹ 2.55 கோடி முதல் தொடங்கும் 3 BHK லக்ஸுரி அபார்ட்மெண்ட்ஸ் பூட்டிக் லக்ஸுரி. நகரின் பிரதான வாழ்க்கை. காலத்தால் அழியாத நேர்த்தி. விசாலமான வடிவமைப்பு, உயர்தர வசதிகள் மற்றும் சென்னையின் முக்கிய வாழ்க்கைமுறை மையங்களுக்கு சிறந்த இணைப்புடன் கூடிய பிரத்யேக பூட்டிக் குடியிருப்பில் ஆடம்பரமான வாழ்க்கையை அனுபவிக்குங்கள்.  ⭐ திட்ட சிறப்பம்சங்கள்  ✔️ பிரீமியம் 3 BHK குடியிருப்புகள் ✔️ வெறும் 17 அபார்ட்மெண்ட்கள் கொண்ட பிரத்யேக திட்டம் ✔️ 0.18 ஏக்கரில் அமைந்துள்ள பூட்டிக் குடியிருப்பு ✔️ 1,</t>
        </is>
      </c>
      <c r="M153" s="7" t="inlineStr">
        <is>
          <t>https://www.facebook.com/ads/library/?id=1065555095995496</t>
        </is>
      </c>
    </row>
    <row r="154">
      <c r="A154" s="5" t="n">
        <v>133</v>
      </c>
      <c r="B154" s="5" t="inlineStr">
        <is>
          <t>Pimpri Chinchwad Real Estate</t>
        </is>
      </c>
      <c r="C154" s="5" t="inlineStr">
        <is>
          <t>Real Estate Developer (Location-Piggyback)</t>
        </is>
      </c>
      <c r="D154" s="5" t="inlineStr">
        <is>
          <t>Phoenix Mall of the Millennium Wakad</t>
        </is>
      </c>
      <c r="E154" s="5" t="inlineStr">
        <is>
          <t>Pune</t>
        </is>
      </c>
      <c r="F154" s="5" t="inlineStr">
        <is>
          <t>LIVE</t>
        </is>
      </c>
      <c r="G154" s="5" t="inlineStr">
        <is>
          <t>10 Aug 2026</t>
        </is>
      </c>
      <c r="H154" s="5" t="n">
        <v>23</v>
      </c>
      <c r="I154" s="5" t="inlineStr">
        <is>
          <t>Fresh Test (&lt;30d)</t>
        </is>
      </c>
      <c r="J154" s="5" t="inlineStr">
        <is>
          <t>Learn More</t>
        </is>
      </c>
      <c r="K154" s="6" t="inlineStr">
        <is>
          <t>PCMC's Most Awaited Luxury Address - 2, 3 &amp; 4 BHK Victorian Residences starting 1.03Cr* near Dange Chowk, Thergaon  Unde</t>
        </is>
      </c>
      <c r="L154" s="6" t="inlineStr">
        <is>
          <t>PCMC's Most Awaited Luxury Address - 2, 3 &amp; 4 BHK Victorian Residences starting 1.03Cr* near Dange Chowk, Thergaon  Under Construction 2 BHK - 1.03 Cr* onwards Nearing Possession 3 BHK - 1.30 Cr* onwards Ready Possession 2 BHK Garden Residences - 1.22 Cr* all inclusive Ready Possession 4 BHK - 2.51 Cr* all inclusive  ➦ 30+ Superlative Amenities ➦ Well planned and spacious layouts ➦ Close proximity to Phoenix Mall of the Millennium, Hinjewadi IT Park and Aundh  Call: 7090676000  *T&amp;C Apply RERA N</t>
        </is>
      </c>
      <c r="M154" s="5" t="inlineStr">
        <is>
          <t>https://www.facebook.com/ads/library/?id=1081736544435313</t>
        </is>
      </c>
    </row>
    <row r="155">
      <c r="A155" s="7" t="n">
        <v>134</v>
      </c>
      <c r="B155" s="7" t="inlineStr">
        <is>
          <t>Prashanti</t>
        </is>
      </c>
      <c r="C155" s="7" t="inlineStr">
        <is>
          <t>Other Advertiser (Event / Service / Direct-to-Consumer)</t>
        </is>
      </c>
      <c r="D155" s="7" t="inlineStr">
        <is>
          <t>The Pavillion Pune</t>
        </is>
      </c>
      <c r="E155" s="7" t="inlineStr">
        <is>
          <t>Pune</t>
        </is>
      </c>
      <c r="F155" s="7" t="inlineStr">
        <is>
          <t>LIVE</t>
        </is>
      </c>
      <c r="G155" s="7" t="inlineStr">
        <is>
          <t>10 Aug 2026</t>
        </is>
      </c>
      <c r="H155" s="7" t="n">
        <v>23</v>
      </c>
      <c r="I155" s="7" t="inlineStr">
        <is>
          <t>Fresh Test (&lt;30d)</t>
        </is>
      </c>
      <c r="J155" s="7" t="inlineStr">
        <is>
          <t>Learn More</t>
        </is>
      </c>
      <c r="K155" s="8" t="inlineStr">
        <is>
          <t>Pune, get ready to experience saree shopping like never before!</t>
        </is>
      </c>
      <c r="L155" s="8" t="inlineStr">
        <is>
          <t>Pune, get ready to experience saree shopping like never before!  This isn't just an exhibition—it's a celebration of colours, craftsmanship, culture, and festive joy.  Saree Trails by Prashanti, where every drape tells a story, and every weave is handpicked to make your festive season unforgettable.  ✨ Explore 100+ exclusive saree collections ✨ Handpicked Pure Silks &amp; Bridal Kanchipurams ✨ Discover elegant Banarasis, Tussars, Cottons &amp; More. ✨ Explore trendsetting ethnic wear by Maatshi ✨ Curate</t>
        </is>
      </c>
      <c r="M155" s="7" t="inlineStr">
        <is>
          <t>https://www.facebook.com/ads/library/?id=1918320272172268</t>
        </is>
      </c>
    </row>
    <row r="156">
      <c r="A156" s="5" t="n">
        <v>135</v>
      </c>
      <c r="B156" s="5" t="inlineStr">
        <is>
          <t>Pune Biggest Property Launch</t>
        </is>
      </c>
      <c r="C156" s="5" t="inlineStr">
        <is>
          <t>Real Estate Developer (Location-Piggyback)</t>
        </is>
      </c>
      <c r="D156" s="5" t="inlineStr">
        <is>
          <t>Amanora Mall Pune</t>
        </is>
      </c>
      <c r="E156" s="5" t="inlineStr">
        <is>
          <t>Pune</t>
        </is>
      </c>
      <c r="F156" s="5" t="inlineStr">
        <is>
          <t>LIVE</t>
        </is>
      </c>
      <c r="G156" s="5" t="inlineStr">
        <is>
          <t>10 Aug 2026</t>
        </is>
      </c>
      <c r="H156" s="5" t="n">
        <v>23</v>
      </c>
      <c r="I156" s="5" t="inlineStr">
        <is>
          <t>Fresh Test (&lt;30d)</t>
        </is>
      </c>
      <c r="J156" s="5" t="inlineStr">
        <is>
          <t>Learn More</t>
        </is>
      </c>
      <c r="K156" s="6" t="inlineStr">
        <is>
          <t>🏡 BIGGEST CARPET HOMES NEAR AMENORA MALL!</t>
        </is>
      </c>
      <c r="L156" s="6" t="inlineStr">
        <is>
          <t>🏡 BIGGEST CARPET HOMES NEAR AMENORA MALL!  Upgrade your lifestyle with spacious 2, 3, 4 &amp; 6 BHK Premium Homes in a prime Pune location.  ✨ 830 – 2500 Sq.Ft. spacious homes 🏊 55+ Thoughtfully Curated Lifestyle Amenities 📍 Just 2 Minutes from Amanora Mall 🚉 Railway Station – 7 Minutes 💼 Magarpatta IT Hub – 5 Minutes 📍 Kalyani Nagar – 20 Minutes 💰 Starting at ₹1 Cr*  Experience space, luxury &amp; connectivity—all in one address.  📞 Enquire Now: 91584 98781 FB.ME 🏡 BIGGEST CARPET HOMES NEAR AM</t>
        </is>
      </c>
      <c r="M156" s="5" t="inlineStr">
        <is>
          <t>https://www.facebook.com/ads/library/?id=1048316527843586</t>
        </is>
      </c>
    </row>
    <row r="157">
      <c r="A157" s="7" t="n">
        <v>136</v>
      </c>
      <c r="B157" s="7" t="inlineStr">
        <is>
          <t>Rohan Builders India</t>
        </is>
      </c>
      <c r="C157" s="7" t="inlineStr">
        <is>
          <t>Real Estate Developer (Location-Piggyback)</t>
        </is>
      </c>
      <c r="D157" s="7" t="inlineStr">
        <is>
          <t>Phoenix Marketcity Pune</t>
        </is>
      </c>
      <c r="E157" s="7" t="inlineStr">
        <is>
          <t>Pune</t>
        </is>
      </c>
      <c r="F157" s="7" t="inlineStr">
        <is>
          <t>LIVE</t>
        </is>
      </c>
      <c r="G157" s="7" t="inlineStr">
        <is>
          <t>11 Aug 2026</t>
        </is>
      </c>
      <c r="H157" s="7" t="n">
        <v>22</v>
      </c>
      <c r="I157" s="7" t="inlineStr">
        <is>
          <t>Fresh Test (&lt;30d)</t>
        </is>
      </c>
      <c r="J157" s="7" t="inlineStr">
        <is>
          <t>Learn More</t>
        </is>
      </c>
      <c r="K157" s="8" t="inlineStr">
        <is>
          <t>✨ Avail No Pre-EMI till completion offer at Rohan Abhilasha 4, Wagholi.</t>
        </is>
      </c>
      <c r="L157" s="8"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2 &amp; 3 BHK Homes t</t>
        </is>
      </c>
      <c r="M157" s="7" t="inlineStr">
        <is>
          <t>https://www.facebook.com/ads/library/?id=2262831034477873</t>
        </is>
      </c>
    </row>
    <row r="158">
      <c r="A158" s="5" t="n">
        <v>137</v>
      </c>
      <c r="B158" s="5" t="inlineStr">
        <is>
          <t>East Pune Premium Homes</t>
        </is>
      </c>
      <c r="C158" s="5" t="inlineStr">
        <is>
          <t>Real Estate Developer (Location-Piggyback)</t>
        </is>
      </c>
      <c r="D158" s="5" t="inlineStr">
        <is>
          <t>Phoenix Marketcity Pune</t>
        </is>
      </c>
      <c r="E158" s="5" t="inlineStr">
        <is>
          <t>Pune</t>
        </is>
      </c>
      <c r="F158" s="5" t="inlineStr">
        <is>
          <t>LIVE</t>
        </is>
      </c>
      <c r="G158" s="5" t="inlineStr">
        <is>
          <t>11 Aug 2026</t>
        </is>
      </c>
      <c r="H158" s="5" t="n">
        <v>22</v>
      </c>
      <c r="I158" s="5" t="inlineStr">
        <is>
          <t>Fresh Test (&lt;30d)</t>
        </is>
      </c>
      <c r="J158" s="5" t="inlineStr">
        <is>
          <t>Learn More</t>
        </is>
      </c>
      <c r="K158" s="6" t="inlineStr">
        <is>
          <t>📈 Your Next Smart Investment Starts Here.</t>
        </is>
      </c>
      <c r="L158" s="6" t="inlineStr">
        <is>
          <t>📈 Your Next Smart Investment Starts Here.  Own a premium home in 𝐖𝐚𝐝𝐠𝐚𝐨𝐧 𝐒𝐡𝐞𝐫𝐢, one of Pune's fastest-growing residential destinations.  🏡 Premium 2 &amp; 3 BHK Homes 💰 Starting from ₹1.10Cr*  📍 7 Mins to EON IT Park &amp; Kharadi 📍 Close to Viman Nagar &amp; Phoenix Marketcity  ⭐ Riverside Community ⭐ Premium Clubhouse ⭐ High Investment Growth Potential ⭐ Possession in Just 3 Years  💬📩https://wa.link/ji7rpl  📲 Enquire Today for Exclusive Launch Benefits. 0:00 / 0:33 FB.ME 2 &amp; 3 BHK Home</t>
        </is>
      </c>
      <c r="M158" s="5" t="inlineStr">
        <is>
          <t>https://www.facebook.com/ads/library/?id=1553038679836539</t>
        </is>
      </c>
    </row>
    <row r="159">
      <c r="A159" s="7" t="n">
        <v>138</v>
      </c>
      <c r="B159" s="7" t="inlineStr">
        <is>
          <t>Rohan Builders India</t>
        </is>
      </c>
      <c r="C159" s="7" t="inlineStr">
        <is>
          <t>Real Estate Developer (Location-Piggyback)</t>
        </is>
      </c>
      <c r="D159" s="7" t="inlineStr">
        <is>
          <t>Phoenix Marketcity Pune</t>
        </is>
      </c>
      <c r="E159" s="7" t="inlineStr">
        <is>
          <t>Pune</t>
        </is>
      </c>
      <c r="F159" s="7" t="inlineStr">
        <is>
          <t>LIVE</t>
        </is>
      </c>
      <c r="G159" s="7" t="inlineStr">
        <is>
          <t>11 Aug 2026</t>
        </is>
      </c>
      <c r="H159" s="7" t="n">
        <v>22</v>
      </c>
      <c r="I159" s="7" t="inlineStr">
        <is>
          <t>Fresh Test (&lt;30d)</t>
        </is>
      </c>
      <c r="J159" s="7" t="inlineStr">
        <is>
          <t>Learn More</t>
        </is>
      </c>
      <c r="K159" s="8" t="inlineStr">
        <is>
          <t>✨ Avail No Pre-EMI till completion offer at Rohan Abhilasha 4, Wagholi.</t>
        </is>
      </c>
      <c r="L159" s="8"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0:00 / 0:30 2 &amp; 3</t>
        </is>
      </c>
      <c r="M159" s="7" t="inlineStr">
        <is>
          <t>https://www.facebook.com/ads/library/?id=1787725615593414</t>
        </is>
      </c>
    </row>
    <row r="160">
      <c r="A160" s="5" t="n">
        <v>139</v>
      </c>
      <c r="B160" s="5" t="inlineStr">
        <is>
          <t>Arise Capital</t>
        </is>
      </c>
      <c r="C160" s="5" t="inlineStr">
        <is>
          <t>Tenant / Retail Brand (Co-Op Candidate)</t>
        </is>
      </c>
      <c r="D160" s="5" t="inlineStr">
        <is>
          <t>Phoenix Mall of the Millennium Wakad</t>
        </is>
      </c>
      <c r="E160" s="5" t="inlineStr">
        <is>
          <t>Pune</t>
        </is>
      </c>
      <c r="F160" s="5" t="inlineStr">
        <is>
          <t>LIVE</t>
        </is>
      </c>
      <c r="G160" s="5" t="inlineStr">
        <is>
          <t>11 Aug 2026</t>
        </is>
      </c>
      <c r="H160" s="5" t="n">
        <v>22</v>
      </c>
      <c r="I160" s="5" t="inlineStr">
        <is>
          <t>Fresh Test (&lt;30d)</t>
        </is>
      </c>
      <c r="J160" s="5" t="inlineStr">
        <is>
          <t>Learn More</t>
        </is>
      </c>
      <c r="K160" s="6" t="inlineStr">
        <is>
          <t>𝐆𝐫𝐞𝐚𝐭 𝐢𝐧𝐯𝐞𝐬𝐭𝐦𝐞𝐧𝐭𝐬 𝐁𝐞𝐠𝐢𝐧𝐬 With Great Positioning.</t>
        </is>
      </c>
      <c r="L160" s="6" t="inlineStr">
        <is>
          <t>𝐆𝐫𝐞𝐚𝐭 𝐢𝐧𝐯𝐞𝐬𝐭𝐦𝐞𝐧𝐭𝐬 𝐁𝐞𝐠𝐢𝐧𝐬 With Great Positioning. Introducing Arise Capital, a 𝐏𝐫𝐞𝐦𝐢𝐮𝐦 𝐂𝐨𝐦𝐦𝐞𝐫𝐜𝐢𝐚𝐥 𝐃𝐞𝐬𝐭𝐢𝐧𝐚𝐭𝐢𝐨𝐧 𝐁𝐞𝐬𝐢𝐝𝐞 𝐏𝐡𝐨𝐞𝐧𝐢𝐱 𝐌𝐚𝐥𝐥, 𝐖𝐚𝐤𝐚𝐝.  Thoughtfully Designed 𝐒𝐭𝐮𝐝𝐢𝐨 𝐒𝐩𝐚𝐜𝐞𝐬 Positioned Amidst West Pune's fastest-growing business ecosystem.  ✅ Next to Phoenix Mall ✅ Surrounded by Grade A Offices ✅ Assured 7.5% ROI* ✅ IGBC Gold Targeted Development  Pre launching Studio Spaces from ₹39.99 L (A.I). Book your Site vi</t>
        </is>
      </c>
      <c r="M160" s="5" t="inlineStr">
        <is>
          <t>https://www.facebook.com/ads/library/?id=1416920890340588</t>
        </is>
      </c>
    </row>
    <row r="161">
      <c r="A161" s="7" t="n">
        <v>140</v>
      </c>
      <c r="B161" s="7" t="inlineStr">
        <is>
          <t>SkillEcted</t>
        </is>
      </c>
      <c r="C161" s="7" t="inlineStr">
        <is>
          <t>Other Advertiser (Event / Service / Direct-to-Consumer)</t>
        </is>
      </c>
      <c r="D161" s="7" t="inlineStr">
        <is>
          <t>The Pavillion Pune</t>
        </is>
      </c>
      <c r="E161" s="7" t="inlineStr">
        <is>
          <t>Pune</t>
        </is>
      </c>
      <c r="F161" s="7" t="inlineStr">
        <is>
          <t>LIVE</t>
        </is>
      </c>
      <c r="G161" s="7" t="inlineStr">
        <is>
          <t>11 Aug 2026</t>
        </is>
      </c>
      <c r="H161" s="7" t="n">
        <v>22</v>
      </c>
      <c r="I161" s="7" t="inlineStr">
        <is>
          <t>Fresh Test (&lt;30d)</t>
        </is>
      </c>
      <c r="J161" s="7" t="inlineStr">
        <is>
          <t>Learn More</t>
        </is>
      </c>
      <c r="K161" s="8" t="inlineStr">
        <is>
          <t>Only 10 seats left for B.Tech Computer Science at DY Patil University, Pune.</t>
        </is>
      </c>
      <c r="L161" s="8" t="inlineStr">
        <is>
          <t>Only 10 seats left for B.Tech Computer Science at DY Patil University, Pune. Register now before admissions close. Begin Your Computer Science Career Only 10 Seats Left Apply Now ​ Active</t>
        </is>
      </c>
      <c r="M161" s="7" t="inlineStr">
        <is>
          <t>https://www.facebook.com/ads/library/?id=1363448205875074</t>
        </is>
      </c>
    </row>
    <row r="162">
      <c r="A162" s="5" t="n">
        <v>141</v>
      </c>
      <c r="B162" s="5" t="inlineStr">
        <is>
          <t>ALKA with Shyaway.com</t>
        </is>
      </c>
      <c r="C162" s="5" t="inlineStr">
        <is>
          <t>Other Advertiser (Event / Service / Direct-to-Consumer)</t>
        </is>
      </c>
      <c r="D162" s="5" t="inlineStr">
        <is>
          <t>Lulu Mall Hyderabad</t>
        </is>
      </c>
      <c r="E162" s="5" t="inlineStr">
        <is>
          <t>Hyderabad</t>
        </is>
      </c>
      <c r="F162" s="5" t="inlineStr">
        <is>
          <t>LIVE</t>
        </is>
      </c>
      <c r="G162" s="5" t="inlineStr">
        <is>
          <t>11 Aug 2026</t>
        </is>
      </c>
      <c r="H162" s="5" t="n">
        <v>22</v>
      </c>
      <c r="I162" s="5" t="inlineStr">
        <is>
          <t>Fresh Test (&lt;30d)</t>
        </is>
      </c>
      <c r="J162" s="5" t="inlineStr">
        <is>
          <t>Learn More</t>
        </is>
      </c>
      <c r="K162" s="6" t="inlineStr">
        <is>
          <t>✨ POV: You walked into Shyaway “just to browse”...</t>
        </is>
      </c>
      <c r="L162" s="6" t="inlineStr">
        <is>
          <t>✨ POV: You walked into Shyaway “just to browse”... and left with a whole new wardrobe! 💖🛍️ I recently visited Shyaway at Lulu Mall, Kochi, and I totally get the hype! 😍 From ultra-comfy everyday bras to stylish lingerie, cozy nightwear, activewear, and shapewear, every collection is designed to make you feel confident, comfortable, and beautiful. 💕 The fit? ✔️  The comfort? ✔️  The styles? Absolutely gorgeous! ✨ If you’re planning your next shopping spree, make sure Shyaway is on your list!</t>
        </is>
      </c>
      <c r="M162" s="5" t="inlineStr">
        <is>
          <t>https://www.facebook.com/ads/library/?id=1368136578832278</t>
        </is>
      </c>
    </row>
    <row r="163">
      <c r="A163" s="7" t="n">
        <v>142</v>
      </c>
      <c r="B163" s="7" t="inlineStr">
        <is>
          <t>Top Launch Properties in Hyderabad</t>
        </is>
      </c>
      <c r="C163" s="7" t="inlineStr">
        <is>
          <t>Real Estate Developer (Location-Piggyback)</t>
        </is>
      </c>
      <c r="D163" s="7" t="inlineStr">
        <is>
          <t>Sarath City Capital Mall</t>
        </is>
      </c>
      <c r="E163" s="7" t="inlineStr">
        <is>
          <t>Hyderabad</t>
        </is>
      </c>
      <c r="F163" s="7" t="inlineStr">
        <is>
          <t>LIVE</t>
        </is>
      </c>
      <c r="G163" s="7" t="inlineStr">
        <is>
          <t>11 Aug 2026</t>
        </is>
      </c>
      <c r="H163" s="7" t="n">
        <v>22</v>
      </c>
      <c r="I163" s="7" t="inlineStr">
        <is>
          <t>Fresh Test (&lt;30d)</t>
        </is>
      </c>
      <c r="J163" s="7" t="inlineStr">
        <is>
          <t>Learn More</t>
        </is>
      </c>
      <c r="K163" s="8" t="inlineStr">
        <is>
          <t>🏙️ Prestige Golden Grove – Premium 2, 3, 3.5 &amp; 4 BHK Apartments in Tellapur, Hyderabad  Limited units available.</t>
        </is>
      </c>
      <c r="L163" s="8"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M163" s="7" t="inlineStr">
        <is>
          <t>https://www.facebook.com/ads/library/?id=1358996799702242</t>
        </is>
      </c>
    </row>
    <row r="164">
      <c r="A164" s="5" t="n">
        <v>143</v>
      </c>
      <c r="B164" s="5" t="inlineStr">
        <is>
          <t>Top Launch Properties in Hyderabad</t>
        </is>
      </c>
      <c r="C164" s="5" t="inlineStr">
        <is>
          <t>Real Estate Developer (Location-Piggyback)</t>
        </is>
      </c>
      <c r="D164" s="5" t="inlineStr">
        <is>
          <t>Sarath City Capital Mall</t>
        </is>
      </c>
      <c r="E164" s="5" t="inlineStr">
        <is>
          <t>Hyderabad</t>
        </is>
      </c>
      <c r="F164" s="5" t="inlineStr">
        <is>
          <t>LIVE</t>
        </is>
      </c>
      <c r="G164" s="5" t="inlineStr">
        <is>
          <t>11 Aug 2026</t>
        </is>
      </c>
      <c r="H164" s="5" t="n">
        <v>22</v>
      </c>
      <c r="I164" s="5" t="inlineStr">
        <is>
          <t>Fresh Test (&lt;30d)</t>
        </is>
      </c>
      <c r="J164" s="5" t="inlineStr">
        <is>
          <t>Learn More</t>
        </is>
      </c>
      <c r="K164" s="6" t="inlineStr">
        <is>
          <t>🏙️ Prestige Golden Grove – Premium 2, 3, 3.5 &amp; 4 BHK Apartments in Tellapur, Hyderabad  Limited units available.</t>
        </is>
      </c>
      <c r="L164" s="6"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M164" s="5" t="inlineStr">
        <is>
          <t>https://www.facebook.com/ads/library/?id=2331639457650207</t>
        </is>
      </c>
    </row>
    <row r="165">
      <c r="A165" s="7" t="n">
        <v>144</v>
      </c>
      <c r="B165" s="7" t="inlineStr">
        <is>
          <t>Top Launch Properties in Hyderabad</t>
        </is>
      </c>
      <c r="C165" s="7" t="inlineStr">
        <is>
          <t>Real Estate Developer (Location-Piggyback)</t>
        </is>
      </c>
      <c r="D165" s="7" t="inlineStr">
        <is>
          <t>Sarath City Capital Mall</t>
        </is>
      </c>
      <c r="E165" s="7" t="inlineStr">
        <is>
          <t>Hyderabad</t>
        </is>
      </c>
      <c r="F165" s="7" t="inlineStr">
        <is>
          <t>LIVE</t>
        </is>
      </c>
      <c r="G165" s="7" t="inlineStr">
        <is>
          <t>11 Aug 2026</t>
        </is>
      </c>
      <c r="H165" s="7" t="n">
        <v>22</v>
      </c>
      <c r="I165" s="7" t="inlineStr">
        <is>
          <t>Fresh Test (&lt;30d)</t>
        </is>
      </c>
      <c r="J165" s="7" t="inlineStr">
        <is>
          <t>Learn More</t>
        </is>
      </c>
      <c r="K165" s="8" t="inlineStr">
        <is>
          <t>🏙️ Prestige Golden Grove – Premium 2, 3, 3.5 &amp; 4 BHK Apartments in Tellapur, Hyderabad  Limited units available.</t>
        </is>
      </c>
      <c r="L165" s="8"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M165" s="7" t="inlineStr">
        <is>
          <t>https://www.facebook.com/ads/library/?id=1089146163685037</t>
        </is>
      </c>
    </row>
    <row r="166">
      <c r="A166" s="5" t="n">
        <v>145</v>
      </c>
      <c r="B166" s="5" t="inlineStr">
        <is>
          <t>Top Launch Properties in Hyderabad</t>
        </is>
      </c>
      <c r="C166" s="5" t="inlineStr">
        <is>
          <t>Real Estate Developer (Location-Piggyback)</t>
        </is>
      </c>
      <c r="D166" s="5" t="inlineStr">
        <is>
          <t>Inorbit Mall Cyberabad</t>
        </is>
      </c>
      <c r="E166" s="5" t="inlineStr">
        <is>
          <t>Hyderabad</t>
        </is>
      </c>
      <c r="F166" s="5" t="inlineStr">
        <is>
          <t>LIVE</t>
        </is>
      </c>
      <c r="G166" s="5" t="inlineStr">
        <is>
          <t>11 Aug 2026</t>
        </is>
      </c>
      <c r="H166" s="5" t="n">
        <v>22</v>
      </c>
      <c r="I166" s="5" t="inlineStr">
        <is>
          <t>Fresh Test (&lt;30d)</t>
        </is>
      </c>
      <c r="J166" s="5" t="inlineStr">
        <is>
          <t>Learn More</t>
        </is>
      </c>
      <c r="K166" s="6" t="inlineStr">
        <is>
          <t>🏙️ Prestige Golden Grove – Premium 2, 3, 3.5 &amp; 4 BHK Apartments in Tellapur, Hyderabad  Limited units available.</t>
        </is>
      </c>
      <c r="L166" s="6"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M166" s="5" t="inlineStr">
        <is>
          <t>https://www.facebook.com/ads/library/?id=1604936637647611</t>
        </is>
      </c>
    </row>
    <row r="167">
      <c r="A167" s="7" t="n">
        <v>146</v>
      </c>
      <c r="B167" s="7" t="inlineStr">
        <is>
          <t>Top Launch Properties in Hyderabad</t>
        </is>
      </c>
      <c r="C167" s="7" t="inlineStr">
        <is>
          <t>Real Estate Developer (Location-Piggyback)</t>
        </is>
      </c>
      <c r="D167" s="7" t="inlineStr">
        <is>
          <t>Inorbit Mall Cyberabad</t>
        </is>
      </c>
      <c r="E167" s="7" t="inlineStr">
        <is>
          <t>Hyderabad</t>
        </is>
      </c>
      <c r="F167" s="7" t="inlineStr">
        <is>
          <t>LIVE</t>
        </is>
      </c>
      <c r="G167" s="7" t="inlineStr">
        <is>
          <t>11 Aug 2026</t>
        </is>
      </c>
      <c r="H167" s="7" t="n">
        <v>22</v>
      </c>
      <c r="I167" s="7" t="inlineStr">
        <is>
          <t>Fresh Test (&lt;30d)</t>
        </is>
      </c>
      <c r="J167" s="7" t="inlineStr">
        <is>
          <t>Learn More</t>
        </is>
      </c>
      <c r="K167" s="8" t="inlineStr">
        <is>
          <t>🏙️ Prestige Golden Grove – Premium 2, 3, 3.5 &amp; 4 BHK Apartments in Tellapur, Hyderabad  Limited units available.</t>
        </is>
      </c>
      <c r="L167" s="8"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M167" s="7" t="inlineStr">
        <is>
          <t>https://www.facebook.com/ads/library/?id=1051052680960530</t>
        </is>
      </c>
    </row>
    <row r="168">
      <c r="A168" s="5" t="n">
        <v>147</v>
      </c>
      <c r="B168" s="5" t="inlineStr">
        <is>
          <t>Top Launch Properties in Hyderabad</t>
        </is>
      </c>
      <c r="C168" s="5" t="inlineStr">
        <is>
          <t>Real Estate Developer (Location-Piggyback)</t>
        </is>
      </c>
      <c r="D168" s="5" t="inlineStr">
        <is>
          <t>Inorbit Mall Cyberabad</t>
        </is>
      </c>
      <c r="E168" s="5" t="inlineStr">
        <is>
          <t>Hyderabad</t>
        </is>
      </c>
      <c r="F168" s="5" t="inlineStr">
        <is>
          <t>LIVE</t>
        </is>
      </c>
      <c r="G168" s="5" t="inlineStr">
        <is>
          <t>11 Aug 2026</t>
        </is>
      </c>
      <c r="H168" s="5" t="n">
        <v>22</v>
      </c>
      <c r="I168" s="5" t="inlineStr">
        <is>
          <t>Fresh Test (&lt;30d)</t>
        </is>
      </c>
      <c r="J168" s="5" t="inlineStr">
        <is>
          <t>Learn More</t>
        </is>
      </c>
      <c r="K168" s="6" t="inlineStr">
        <is>
          <t>🏙️ Prestige Golden Grove – Premium 2, 3, 3.5 &amp; 4 BHK Apartments in Tellapur, Hyderabad  Limited units available.</t>
        </is>
      </c>
      <c r="L168" s="6"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M168" s="5" t="inlineStr">
        <is>
          <t>https://www.facebook.com/ads/library/?id=2118117729117838</t>
        </is>
      </c>
    </row>
    <row r="169">
      <c r="A169" s="7" t="n">
        <v>148</v>
      </c>
      <c r="B169" s="7" t="inlineStr">
        <is>
          <t>Top Launch Properties in Hyderabad</t>
        </is>
      </c>
      <c r="C169" s="7" t="inlineStr">
        <is>
          <t>Real Estate Developer (Location-Piggyback)</t>
        </is>
      </c>
      <c r="D169" s="7" t="inlineStr">
        <is>
          <t>Inorbit Mall Cyberabad</t>
        </is>
      </c>
      <c r="E169" s="7" t="inlineStr">
        <is>
          <t>Hyderabad</t>
        </is>
      </c>
      <c r="F169" s="7" t="inlineStr">
        <is>
          <t>LIVE</t>
        </is>
      </c>
      <c r="G169" s="7" t="inlineStr">
        <is>
          <t>11 Aug 2026</t>
        </is>
      </c>
      <c r="H169" s="7" t="n">
        <v>22</v>
      </c>
      <c r="I169" s="7" t="inlineStr">
        <is>
          <t>Fresh Test (&lt;30d)</t>
        </is>
      </c>
      <c r="J169" s="7" t="inlineStr">
        <is>
          <t>Learn More</t>
        </is>
      </c>
      <c r="K169" s="8" t="inlineStr">
        <is>
          <t>🏙️ Prestige Golden Grove – Premium 2, 3, 3.5 &amp; 4 BHK Apartments in Tellapur, Hyderabad  Limited units available.</t>
        </is>
      </c>
      <c r="L169" s="8"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M169" s="7" t="inlineStr">
        <is>
          <t>https://www.facebook.com/ads/library/?id=1804692024225978</t>
        </is>
      </c>
    </row>
    <row r="170">
      <c r="A170" s="5" t="n">
        <v>149</v>
      </c>
      <c r="B170" s="5" t="inlineStr">
        <is>
          <t>Top Launch Properties in Hyderabad</t>
        </is>
      </c>
      <c r="C170" s="5" t="inlineStr">
        <is>
          <t>Real Estate Developer (Location-Piggyback)</t>
        </is>
      </c>
      <c r="D170" s="5" t="inlineStr">
        <is>
          <t>Inorbit Mall Cyberabad</t>
        </is>
      </c>
      <c r="E170" s="5" t="inlineStr">
        <is>
          <t>Hyderabad</t>
        </is>
      </c>
      <c r="F170" s="5" t="inlineStr">
        <is>
          <t>off</t>
        </is>
      </c>
      <c r="G170" s="5" t="inlineStr">
        <is>
          <t>11 Aug 2026</t>
        </is>
      </c>
      <c r="H170" s="5" t="n">
        <v>22</v>
      </c>
      <c r="I170" s="5" t="inlineStr">
        <is>
          <t>Fresh Test (&lt;30d)</t>
        </is>
      </c>
      <c r="J170" s="5" t="inlineStr">
        <is>
          <t>Learn More</t>
        </is>
      </c>
      <c r="K170" s="6" t="inlineStr">
        <is>
          <t>🏙️ Prestige Golden Grove – Premium 2, 3, 3.5 &amp; 4 BHK Apartments in Tellapur, Hyderabad  Limited units available.</t>
        </is>
      </c>
      <c r="L170" s="6" t="inlineStr">
        <is>
          <t>🏙️ Prestige Golden Grove – Premium 2, 3, 3.5 &amp; 4 BHK Apartments in Tellapur, Hyderabad  Limited units available. Enquire now for the best launch-price offers &amp; complete price breakdown!  A grove of gold, minutes from the Financial District. Prestige Golden Grove is a large-scale, Vaastu-compliant residential community spread across ~28 acres in Tellapur — West Hyderabad's fast-emerging corridor — with 10-12 high-rise towers and around 4,200 apartments, plus nearly 80% open green space.  📍 Loca</t>
        </is>
      </c>
      <c r="M170" s="5" t="inlineStr">
        <is>
          <t>https://www.facebook.com/ads/library/?id=1898055238237825</t>
        </is>
      </c>
    </row>
    <row r="171">
      <c r="A171" s="7" t="n">
        <v>150</v>
      </c>
      <c r="B171" s="7" t="inlineStr">
        <is>
          <t>HousingMan</t>
        </is>
      </c>
      <c r="C171" s="7" t="inlineStr">
        <is>
          <t>Real Estate Developer (Location-Piggyback)</t>
        </is>
      </c>
      <c r="D171" s="7" t="inlineStr">
        <is>
          <t>Amanora Mall Pune</t>
        </is>
      </c>
      <c r="E171" s="7" t="inlineStr">
        <is>
          <t>Pune</t>
        </is>
      </c>
      <c r="F171" s="7" t="inlineStr">
        <is>
          <t>LIVE</t>
        </is>
      </c>
      <c r="G171" s="7" t="inlineStr">
        <is>
          <t>12 Aug 2026</t>
        </is>
      </c>
      <c r="H171" s="7" t="n">
        <v>21</v>
      </c>
      <c r="I171" s="7" t="inlineStr">
        <is>
          <t>Fresh Test (&lt;30d)</t>
        </is>
      </c>
      <c r="J171" s="7" t="inlineStr">
        <is>
          <t>Learn More</t>
        </is>
      </c>
      <c r="K171" s="8" t="inlineStr">
        <is>
          <t>Pay 20% Now &amp; Book Your 2, 3 &amp; 4 BHK Luxury Apartments at Godrej Elaris, Magarpatta-Mundhwa, by Godrej Properties  ✅	2 B</t>
        </is>
      </c>
      <c r="L171" s="8" t="inlineStr">
        <is>
          <t>Pay 20% Now &amp; Book Your 2, 3 &amp; 4 BHK Luxury Apartments at Godrej Elaris, Magarpatta-Mundhwa, by Godrej Properties  ✅	2 BHK at ₹1.73 CR*+ | 3 BHK at ₹2.25 CR*+ ✅	4 BHK starting at ₹3.79 CR* onwards ✅	40+ Lifestyle Amenities ✅	1 Acre Forest Zone with 4 Season Garden    ✅	30,000 sq. ft. Clubhouse | Swimming Pool  ✅	Low-Density Residential Development ✅	Kalyani Nagar Metro Station – 2.5 Km ✅	Pune International Airport - 8.6 Km ✅	Near Hadapsar IT Parks &amp; Amanora Mall ✅	Upcoming JW Marriott Nearby 2,</t>
        </is>
      </c>
      <c r="M171" s="7" t="inlineStr">
        <is>
          <t>https://www.facebook.com/ads/library/?id=1384045007182256</t>
        </is>
      </c>
    </row>
    <row r="172">
      <c r="A172" s="5" t="n">
        <v>151</v>
      </c>
      <c r="B172" s="5" t="inlineStr">
        <is>
          <t>Nexus System</t>
        </is>
      </c>
      <c r="C172" s="5" t="inlineStr">
        <is>
          <t>Mall / Landlord (Direct Competitor)</t>
        </is>
      </c>
      <c r="D172" s="5" t="inlineStr">
        <is>
          <t>Nexus Hyderabad Mall</t>
        </is>
      </c>
      <c r="E172" s="5" t="inlineStr">
        <is>
          <t>Hyderabad</t>
        </is>
      </c>
      <c r="F172" s="5" t="inlineStr">
        <is>
          <t>LIVE</t>
        </is>
      </c>
      <c r="G172" s="5" t="inlineStr">
        <is>
          <t>12 Aug 2026</t>
        </is>
      </c>
      <c r="H172" s="5" t="n">
        <v>21</v>
      </c>
      <c r="I172" s="5" t="inlineStr">
        <is>
          <t>Fresh Test (&lt;30d)</t>
        </is>
      </c>
      <c r="J172" s="5" t="inlineStr">
        <is>
          <t>Learn More</t>
        </is>
      </c>
      <c r="K172" s="6" t="inlineStr">
        <is>
          <t>Premium Slimline Office Partition Systems for modern workplaces.</t>
        </is>
      </c>
      <c r="L172" s="6" t="inlineStr">
        <is>
          <t>Premium Slimline Office Partition Systems for modern workplaces.  • Large Glass Openings • Slim Glass Doors • Fixed Glass Partitions • Custom Office Cabins &amp; Meeting Rooms  Schedule your free site visit today. 0:00 / 0:25 FB.ME Premium Slimline Partitions in Hyderabad Premium aluminium &amp; glass partitions for offices. Get quote ​ Active</t>
        </is>
      </c>
      <c r="M172" s="5" t="inlineStr">
        <is>
          <t>https://www.facebook.com/ads/library/?id=1363083738732628</t>
        </is>
      </c>
    </row>
    <row r="173">
      <c r="A173" s="7" t="n">
        <v>152</v>
      </c>
      <c r="B173" s="7" t="inlineStr">
        <is>
          <t>Kohinoor Kaleido</t>
        </is>
      </c>
      <c r="C173" s="7" t="inlineStr">
        <is>
          <t>Real Estate Developer (Location-Piggyback)</t>
        </is>
      </c>
      <c r="D173" s="7" t="inlineStr">
        <is>
          <t>Phoenix Marketcity Pune</t>
        </is>
      </c>
      <c r="E173" s="7" t="inlineStr">
        <is>
          <t>Pune</t>
        </is>
      </c>
      <c r="F173" s="7" t="inlineStr">
        <is>
          <t>LIVE</t>
        </is>
      </c>
      <c r="G173" s="7" t="inlineStr">
        <is>
          <t>13 Aug 2026</t>
        </is>
      </c>
      <c r="H173" s="7" t="n">
        <v>20</v>
      </c>
      <c r="I173" s="7" t="inlineStr">
        <is>
          <t>Fresh Test (&lt;30d)</t>
        </is>
      </c>
      <c r="J173" s="7" t="inlineStr">
        <is>
          <t>Learn More</t>
        </is>
      </c>
      <c r="K173" s="8" t="inlineStr">
        <is>
          <t>Elevated Living in 𝟐 &amp; 𝟑 𝐁𝐞𝐝 𝐏𝐫𝐞𝐦𝐢𝐮𝐦 𝐑𝐞𝐬𝐢𝐝𝐞𝐧𝐜𝐞𝐬with Dual Balconies, starting at ₹𝟏.𝟎𝟓 𝐂𝐫* – Happening Kharadi, Pune.</t>
        </is>
      </c>
      <c r="L173" s="8" t="inlineStr">
        <is>
          <t>Elevated Living in 𝟐 &amp; 𝟑 𝐁𝐞𝐝 𝐏𝐫𝐞𝐦𝐢𝐮𝐦 𝐑𝐞𝐬𝐢𝐝𝐞𝐧𝐜𝐞𝐬with Dual Balconies, starting at ₹𝟏.𝟎𝟓 𝐂𝐫* – Happening Kharadi, Pune.  • Premium residences in the heart of Happening Kharadi • 2-floor clubhouse with swimming pool, indoor &amp; outdoor gym, sports courts &amp; 25+ lifestyle amenities • EON IT Park, World Trade Center, Zensar &amp; Panchshil within easy reach • Phoenix Marketcity, Seasons Mall &amp; Amanora Mall nearby • Excellent connectivity to Nagar Road, Kharadi Bypass &amp; Pune Airport</t>
        </is>
      </c>
      <c r="M173" s="7" t="inlineStr">
        <is>
          <t>https://www.facebook.com/ads/library/?id=3921866881277755</t>
        </is>
      </c>
    </row>
    <row r="174">
      <c r="A174" s="5" t="n">
        <v>153</v>
      </c>
      <c r="B174" s="5" t="inlineStr">
        <is>
          <t>Brand Properties in Pune</t>
        </is>
      </c>
      <c r="C174" s="5" t="inlineStr">
        <is>
          <t>Real Estate Developer (Location-Piggyback)</t>
        </is>
      </c>
      <c r="D174" s="5" t="inlineStr">
        <is>
          <t>Phoenix Marketcity Pune</t>
        </is>
      </c>
      <c r="E174" s="5" t="inlineStr">
        <is>
          <t>Pune</t>
        </is>
      </c>
      <c r="F174" s="5" t="inlineStr">
        <is>
          <t>LIVE</t>
        </is>
      </c>
      <c r="G174" s="5" t="inlineStr">
        <is>
          <t>13 Aug 2026</t>
        </is>
      </c>
      <c r="H174" s="5" t="n">
        <v>20</v>
      </c>
      <c r="I174" s="5" t="inlineStr">
        <is>
          <t>Fresh Test (&lt;30d)</t>
        </is>
      </c>
      <c r="J174" s="5" t="inlineStr">
        <is>
          <t>Learn More</t>
        </is>
      </c>
      <c r="K174" s="6" t="inlineStr">
        <is>
          <t xml:space="preserve">🏡 Mantra Melange – Luxury 2 &amp; 3 BHK Apartments in Kharadi, Pune </t>
        </is>
      </c>
      <c r="L174" s="6" t="inlineStr">
        <is>
          <t>🏡 Mantra Melange – Luxury 2 &amp; 3 BHK Apartments in Kharadi, Pune | Starting ₹1.21 Cr*  Say hello to riverside luxury living. Mantra Melange, developed by Mantra Properties, is a premium residential development in the Kharadi-Riverside area (Sainath Nagar, Kharadi), spread across ~8.75 acres with 11 towers. Designed around a serene riverside setting with views of the Mula Mutha River, biophilic landscaping, and high-street retail at the entrance, this is elevated everyday living just minutes from</t>
        </is>
      </c>
      <c r="M174" s="5" t="inlineStr">
        <is>
          <t>https://www.facebook.com/ads/library/?id=1269593405216058</t>
        </is>
      </c>
    </row>
    <row r="175">
      <c r="A175" s="7" t="n">
        <v>154</v>
      </c>
      <c r="B175" s="7" t="inlineStr">
        <is>
          <t>Tathawade - Wakad New Launch</t>
        </is>
      </c>
      <c r="C175" s="7" t="inlineStr">
        <is>
          <t>Real Estate Developer (Location-Piggyback)</t>
        </is>
      </c>
      <c r="D175" s="7" t="inlineStr">
        <is>
          <t>Phoenix Mall of the Millennium Wakad</t>
        </is>
      </c>
      <c r="E175" s="7" t="inlineStr">
        <is>
          <t>Pune</t>
        </is>
      </c>
      <c r="F175" s="7" t="inlineStr">
        <is>
          <t>LIVE</t>
        </is>
      </c>
      <c r="G175" s="7" t="inlineStr">
        <is>
          <t>13 Aug 2026</t>
        </is>
      </c>
      <c r="H175" s="7" t="n">
        <v>20</v>
      </c>
      <c r="I175" s="7" t="inlineStr">
        <is>
          <t>Fresh Test (&lt;30d)</t>
        </is>
      </c>
      <c r="J175" s="7" t="inlineStr">
        <is>
          <t>Learn More</t>
        </is>
      </c>
      <c r="K175" s="8" t="inlineStr">
        <is>
          <t>2, 2.5, 3 BHK Premium Residences in Tathawade *Video/Unit Plan for representation purpose only.</t>
        </is>
      </c>
      <c r="L175" s="8" t="inlineStr">
        <is>
          <t>2, 2.5, 3 BHK Premium Residences in Tathawade *Video/Unit Plan for representation purpose only. Please fill form for project details ➦ Premium 2 BHK : 87 Lacs onwards | 3 BHK : 1.13 cr onwards ➦ Panoramic 360° Views ➦ 500m Skywalk Rooftop Loop ➦ Rooftop Amenities with Skygarden, Multiple Celebration Zones, Guest Suites, Smart Home Automation and Grand Double Height Entrance Lobby ➦ Most Spacious Kitchen Layout ➦ Phoenix Mall of the Millennium, Bhumkar Chowk, JPSM-Indira-Dr. DY Patil-Balaji Colle</t>
        </is>
      </c>
      <c r="M175" s="7" t="inlineStr">
        <is>
          <t>https://www.facebook.com/ads/library/?id=1767013157765878</t>
        </is>
      </c>
    </row>
    <row r="176">
      <c r="A176" s="5" t="n">
        <v>155</v>
      </c>
      <c r="B176" s="5" t="inlineStr">
        <is>
          <t>Vrindavan Heights</t>
        </is>
      </c>
      <c r="C176" s="5" t="inlineStr">
        <is>
          <t>Real Estate Developer (Location-Piggyback)</t>
        </is>
      </c>
      <c r="D176" s="5" t="inlineStr">
        <is>
          <t>Amanora Mall Pune</t>
        </is>
      </c>
      <c r="E176" s="5" t="inlineStr">
        <is>
          <t>Pune</t>
        </is>
      </c>
      <c r="F176" s="5" t="inlineStr">
        <is>
          <t>LIVE</t>
        </is>
      </c>
      <c r="G176" s="5" t="inlineStr">
        <is>
          <t>13 Aug 2026</t>
        </is>
      </c>
      <c r="H176" s="5" t="n">
        <v>20</v>
      </c>
      <c r="I176" s="5" t="inlineStr">
        <is>
          <t>Fresh Test (&lt;30d)</t>
        </is>
      </c>
      <c r="J176" s="5" t="inlineStr">
        <is>
          <t>Learn More</t>
        </is>
      </c>
      <c r="K176" s="6" t="inlineStr">
        <is>
          <t>🏡 Still living in a cramped 2 BHK?</t>
        </is>
      </c>
      <c r="L176" s="6" t="inlineStr">
        <is>
          <t>🏡 Still living in a cramped 2 BHK?  At Vrindavan Heights Phase III, get a spacious 885 sq.ft carpet 2 BHK right behind Amanora Mall.  📍 Hadapsar ✅ Large Carpet Area ✅ Alexa Enabled Smart Homes ✅ Dedicated Parking ✅ Possession Dec 2027  Starting From ₹98 Lakhs*  Phase 1 &amp; 2 are already sold out. Limited inventory – only 40–50 homes available.  📞 For floor plans &amp; site visit: 8308820114 / 8308820115 RERA: P52100054968 FB.ME Spacious 2 BHK Homes in Hadapsar From ₹98Lacs Onwards</t>
        </is>
      </c>
      <c r="M176" s="5" t="inlineStr">
        <is>
          <t>https://www.facebook.com/ads/library/?id=1583668086479457</t>
        </is>
      </c>
    </row>
    <row r="177">
      <c r="A177" s="7" t="n">
        <v>156</v>
      </c>
      <c r="B177" s="7" t="inlineStr">
        <is>
          <t>Oorjita Vedant</t>
        </is>
      </c>
      <c r="C177" s="7" t="inlineStr">
        <is>
          <t>Real Estate Developer (Location-Piggyback)</t>
        </is>
      </c>
      <c r="D177" s="7" t="inlineStr">
        <is>
          <t>Inorbit Mall Cyberabad</t>
        </is>
      </c>
      <c r="E177" s="7" t="inlineStr">
        <is>
          <t>Hyderabad</t>
        </is>
      </c>
      <c r="F177" s="7" t="inlineStr">
        <is>
          <t>LIVE</t>
        </is>
      </c>
      <c r="G177" s="7" t="inlineStr">
        <is>
          <t>13 Aug 2026</t>
        </is>
      </c>
      <c r="H177" s="7" t="n">
        <v>20</v>
      </c>
      <c r="I177" s="7" t="inlineStr">
        <is>
          <t>Fresh Test (&lt;30d)</t>
        </is>
      </c>
      <c r="J177" s="7" t="inlineStr">
        <is>
          <t>Learn More</t>
        </is>
      </c>
      <c r="K177" s="8" t="inlineStr">
        <is>
          <t>💎 Highlights:  The All-Inclusive Price is Here!</t>
        </is>
      </c>
      <c r="L177" s="8" t="inlineStr">
        <is>
          <t>💎 Highlights:  The All-Inclusive Price is Here! ✨ 👉Get a 1251 sq.ft. 2BHK for ₹1.05Cr (No Hidden Charges) ✨2.5 BHK or 3 BHK (Base Price ₹7999/-) 🏠Floors: 10, 🏢Towers: 4, 🌟Units: 500, 🛋️Flat Types: 2, 2.5 &amp; 3 BHK  📍 Prime Connectivity 🚗 Narsingi Junction – 4 mins | 🚇 Proposed Metro – 4 mins 🚗 Gachibowli Junction – 14 mins | ✈️ RGI Airport – 24 mins 🛍️ Inorbit Mall – 23 mins | 🏫 Top Schools &amp; Hospitals – 7–16 mins 2BHK ₹1.05CR* (it’s all in the box) | Narsingi🚀 🚗 Gachibowli Junction</t>
        </is>
      </c>
      <c r="M177" s="7" t="inlineStr">
        <is>
          <t>https://www.facebook.com/ads/library/?id=1743116996838483</t>
        </is>
      </c>
    </row>
    <row r="178">
      <c r="A178" s="5" t="n">
        <v>157</v>
      </c>
      <c r="B178" s="5" t="inlineStr">
        <is>
          <t>Oorjita Vedant</t>
        </is>
      </c>
      <c r="C178" s="5" t="inlineStr">
        <is>
          <t>Real Estate Developer (Location-Piggyback)</t>
        </is>
      </c>
      <c r="D178" s="5" t="inlineStr">
        <is>
          <t>Inorbit Mall Cyberabad</t>
        </is>
      </c>
      <c r="E178" s="5" t="inlineStr">
        <is>
          <t>Hyderabad</t>
        </is>
      </c>
      <c r="F178" s="5" t="inlineStr">
        <is>
          <t>LIVE</t>
        </is>
      </c>
      <c r="G178" s="5" t="inlineStr">
        <is>
          <t>13 Aug 2026</t>
        </is>
      </c>
      <c r="H178" s="5" t="n">
        <v>20</v>
      </c>
      <c r="I178" s="5" t="inlineStr">
        <is>
          <t>Fresh Test (&lt;30d)</t>
        </is>
      </c>
      <c r="J178" s="5" t="inlineStr">
        <is>
          <t>Learn More</t>
        </is>
      </c>
      <c r="K178" s="6" t="inlineStr">
        <is>
          <t>💎 Highlights:  The All-Inclusive Price is Here!</t>
        </is>
      </c>
      <c r="L178" s="6" t="inlineStr">
        <is>
          <t>💎 Highlights:  The All-Inclusive Price is Here! ✨ 👉Get a 1251 sq.ft. 2BHK for ₹1.05Cr (No Hidden Charges) ✨2.5 BHK or 3 BHK (Base Price ₹7999/-) 🏠Floors: 10, 🏢Towers: 4, 🌟Units: 500, 🛋️Flat Types: 2, 2.5 &amp; 3 BHK  📍 Prime Connectivity 🚗 Narsingi Junction – 4 mins | 🚇 Proposed Metro – 4 mins 🚗 Gachibowli Junction – 14 mins | ✈️ RGI Airport – 24 mins 🛍️ Inorbit Mall – 23 mins | 🏫 Top Schools &amp; Hospitals – 7–16 mins 2BHK ₹1.05CR* (it’s all in the box) | Narsingi🚀 🚗 Gachibowli Junction</t>
        </is>
      </c>
      <c r="M178" s="5" t="inlineStr">
        <is>
          <t>https://www.facebook.com/ads/library/?id=1597297825422022</t>
        </is>
      </c>
    </row>
    <row r="179">
      <c r="A179" s="7" t="n">
        <v>158</v>
      </c>
      <c r="B179" s="7" t="inlineStr">
        <is>
          <t>Indriya Jewels</t>
        </is>
      </c>
      <c r="C179" s="7" t="inlineStr">
        <is>
          <t>Tenant / Retail Brand (Co-Op Candidate)</t>
        </is>
      </c>
      <c r="D179" s="7" t="inlineStr">
        <is>
          <t>Phoenix Marketcity Pune</t>
        </is>
      </c>
      <c r="E179" s="7" t="inlineStr">
        <is>
          <t>Pune</t>
        </is>
      </c>
      <c r="F179" s="7" t="inlineStr">
        <is>
          <t>LIVE</t>
        </is>
      </c>
      <c r="G179" s="7" t="inlineStr">
        <is>
          <t>14 Aug 2026</t>
        </is>
      </c>
      <c r="H179" s="7" t="n">
        <v>19</v>
      </c>
      <c r="I179" s="7" t="inlineStr">
        <is>
          <t>Fresh Test (&lt;30d)</t>
        </is>
      </c>
      <c r="J179" s="7" t="inlineStr">
        <is>
          <t>Learn More</t>
        </is>
      </c>
      <c r="K179" s="8" t="inlineStr">
        <is>
          <t>Exchange your old gold at Indriya with 0% deduction on any karat.</t>
        </is>
      </c>
      <c r="L179" s="8" t="inlineStr">
        <is>
          <t>Exchange your old gold at Indriya with 0% deduction on any karat. Get full value for your old gold and buy new jewellery with making charges from just 8%. New store open at, Phoenix Wakad, Pune</t>
        </is>
      </c>
      <c r="M179" s="7" t="inlineStr">
        <is>
          <t>https://www.facebook.com/ads/library/?id=2234797670692445</t>
        </is>
      </c>
    </row>
    <row r="180">
      <c r="A180" s="5" t="n">
        <v>159</v>
      </c>
      <c r="B180" s="5" t="inlineStr">
        <is>
          <t>Indriya Jewels</t>
        </is>
      </c>
      <c r="C180" s="5" t="inlineStr">
        <is>
          <t>Tenant / Retail Brand (Co-Op Candidate)</t>
        </is>
      </c>
      <c r="D180" s="5" t="inlineStr">
        <is>
          <t>Phoenix Marketcity Pune</t>
        </is>
      </c>
      <c r="E180" s="5" t="inlineStr">
        <is>
          <t>Pune</t>
        </is>
      </c>
      <c r="F180" s="5" t="inlineStr">
        <is>
          <t>LIVE</t>
        </is>
      </c>
      <c r="G180" s="5" t="inlineStr">
        <is>
          <t>14 Aug 2026</t>
        </is>
      </c>
      <c r="H180" s="5" t="n">
        <v>19</v>
      </c>
      <c r="I180" s="5" t="inlineStr">
        <is>
          <t>Fresh Test (&lt;30d)</t>
        </is>
      </c>
      <c r="J180" s="5" t="inlineStr">
        <is>
          <t>Learn More</t>
        </is>
      </c>
      <c r="K180" s="6" t="inlineStr">
        <is>
          <t>Exchange your old gold at Indriya with 0% deduction on any karat.</t>
        </is>
      </c>
      <c r="L180" s="6" t="inlineStr">
        <is>
          <t>Exchange your old gold at Indriya with 0% deduction on any karat. Get full value for your old gold and buy new jewellery with making charges from just 8%. New store open at, Amanora Mall, Pune</t>
        </is>
      </c>
      <c r="M180" s="5" t="inlineStr">
        <is>
          <t>https://www.facebook.com/ads/library/?id=1771207564082005</t>
        </is>
      </c>
    </row>
    <row r="181">
      <c r="A181" s="7" t="n">
        <v>160</v>
      </c>
      <c r="B181" s="7" t="inlineStr">
        <is>
          <t>57 Elevate</t>
        </is>
      </c>
      <c r="C181" s="7" t="inlineStr">
        <is>
          <t>Real Estate Developer (Location-Piggyback)</t>
        </is>
      </c>
      <c r="D181" s="7" t="inlineStr">
        <is>
          <t>Phoenix Mall of the Millennium Wakad</t>
        </is>
      </c>
      <c r="E181" s="7" t="inlineStr">
        <is>
          <t>Pune</t>
        </is>
      </c>
      <c r="F181" s="7" t="inlineStr">
        <is>
          <t>LIVE</t>
        </is>
      </c>
      <c r="G181" s="7" t="inlineStr">
        <is>
          <t>14 Aug 2026</t>
        </is>
      </c>
      <c r="H181" s="7" t="n">
        <v>19</v>
      </c>
      <c r="I181" s="7" t="inlineStr">
        <is>
          <t>Fresh Test (&lt;30d)</t>
        </is>
      </c>
      <c r="J181" s="7" t="inlineStr">
        <is>
          <t>Learn More</t>
        </is>
      </c>
      <c r="K181" s="8" t="inlineStr">
        <is>
          <t>This Independence Day, celebrate 80 years of freedom with an advantage worth ₹8 Lakhs.</t>
        </is>
      </c>
      <c r="L181" s="8" t="inlineStr">
        <is>
          <t>This Independence Day, celebrate 80 years of freedom with an advantage worth ₹8 Lakhs. Own a premium 2 &amp; 3 BHK Sky Residence at 57 Elevate, Central Wakad. With a landmark 31-storey tower, 30+ lifestyle amenities and Phoenix Mall of the Millennium right next door, elevate your everyday living. WWW.57ELEVATE.IN Celebrate 80 Years With ₹8 Lakhs Off* Premium 2 &amp; 3 BHK Sky Residences in Central Wakad.</t>
        </is>
      </c>
      <c r="M181" s="7" t="inlineStr">
        <is>
          <t>https://www.facebook.com/ads/library/?id=1775934393717869</t>
        </is>
      </c>
    </row>
    <row r="182">
      <c r="A182" s="5" t="n">
        <v>161</v>
      </c>
      <c r="B182" s="5" t="inlineStr">
        <is>
          <t>The Executive Centre</t>
        </is>
      </c>
      <c r="C182" s="5" t="inlineStr">
        <is>
          <t>Other Advertiser (Event / Service / Direct-to-Consumer)</t>
        </is>
      </c>
      <c r="D182" s="5" t="inlineStr">
        <is>
          <t>The Pavillion Pune</t>
        </is>
      </c>
      <c r="E182" s="5" t="inlineStr">
        <is>
          <t>Pune</t>
        </is>
      </c>
      <c r="F182" s="5" t="inlineStr">
        <is>
          <t>off</t>
        </is>
      </c>
      <c r="G182" s="5" t="inlineStr">
        <is>
          <t>14 Aug 2026</t>
        </is>
      </c>
      <c r="H182" s="5" t="n">
        <v>19</v>
      </c>
      <c r="I182" s="5" t="inlineStr">
        <is>
          <t>Fresh Test (&lt;30d)</t>
        </is>
      </c>
      <c r="J182" s="5" t="inlineStr">
        <is>
          <t>Learn More</t>
        </is>
      </c>
      <c r="K182" s="6" t="inlineStr">
        <is>
          <t>Built for GCC, technology, AI and BFSI teams that need a serious address, not a temporary desk farm.</t>
        </is>
      </c>
      <c r="L182" s="6" t="inlineStr">
        <is>
          <t>Built for GCC, technology, AI and BFSI teams that need a serious address, not a temporary desk farm.  The Executive Centre sets the standard for design-led private offices and managed suites across Bangalore’s tech corridor, and 40+ Centres nationwide.  • Grade A addresses • Enterprise infrastructure from day one • Suites for every team size • Mumbai, Delhi NCR, Pune and more  Discover the TEC standard in India. EXECUTIVECENTRE.COM GCC &amp; Tech Workspaces | TEC Discover premium flexible workspaces</t>
        </is>
      </c>
      <c r="M182" s="5" t="inlineStr">
        <is>
          <t>https://www.facebook.com/ads/library/?id=1961472704388308</t>
        </is>
      </c>
    </row>
    <row r="183">
      <c r="A183" s="7" t="n">
        <v>162</v>
      </c>
      <c r="B183" s="7" t="inlineStr">
        <is>
          <t>Address Home</t>
        </is>
      </c>
      <c r="C183" s="7" t="inlineStr">
        <is>
          <t>Other Advertiser (Event / Service / Direct-to-Consumer)</t>
        </is>
      </c>
      <c r="D183" s="7" t="inlineStr">
        <is>
          <t>The Pavillion Pune</t>
        </is>
      </c>
      <c r="E183" s="7" t="inlineStr">
        <is>
          <t>Pune</t>
        </is>
      </c>
      <c r="F183" s="7" t="inlineStr">
        <is>
          <t>LIVE</t>
        </is>
      </c>
      <c r="G183" s="7" t="inlineStr">
        <is>
          <t>14 Aug 2026</t>
        </is>
      </c>
      <c r="H183" s="7" t="n">
        <v>19</v>
      </c>
      <c r="I183" s="7" t="inlineStr">
        <is>
          <t>Fresh Test (&lt;30d)</t>
        </is>
      </c>
      <c r="J183" s="7" t="inlineStr">
        <is>
          <t>Learn More</t>
        </is>
      </c>
      <c r="K183" s="8" t="inlineStr">
        <is>
          <t>Discover our latest collection of luxury home décor, signature linens, statement furniture, exquisite gifting, and timel</t>
        </is>
      </c>
      <c r="L183" s="8" t="inlineStr">
        <is>
          <t>Discover our latest collection of luxury home décor, signature linens, statement furniture, exquisite gifting, and timeless accents—curated to elevate every space. Whether you're styling your dream home, selecting the perfect gift, or creating your trousseau, you'll find pieces that make a lasting impression.  Visit the Address Home Pune Concept Store and experience luxury beyond the screen.  5, Mulik Empire, Next to Tonique, Kalyani Nagar, Pune 📞 9667168895 0:00 / 0:55 ADDRESSHOME.COM Luxury H</t>
        </is>
      </c>
      <c r="M183" s="7" t="inlineStr">
        <is>
          <t>https://www.facebook.com/ads/library/?id=2075203786721905</t>
        </is>
      </c>
    </row>
    <row r="184">
      <c r="A184" s="5" t="n">
        <v>163</v>
      </c>
      <c r="B184" s="5" t="inlineStr">
        <is>
          <t>Shapoorji Pallonji Real Estate</t>
        </is>
      </c>
      <c r="C184" s="5" t="inlineStr">
        <is>
          <t>Real Estate Developer (Location-Piggyback)</t>
        </is>
      </c>
      <c r="D184" s="5" t="inlineStr">
        <is>
          <t>Seasons Mall Pune</t>
        </is>
      </c>
      <c r="E184" s="5" t="inlineStr">
        <is>
          <t>Pune</t>
        </is>
      </c>
      <c r="F184" s="5" t="inlineStr">
        <is>
          <t>LIVE</t>
        </is>
      </c>
      <c r="G184" s="5" t="inlineStr">
        <is>
          <t>14 Aug 2026</t>
        </is>
      </c>
      <c r="H184" s="5" t="n">
        <v>19</v>
      </c>
      <c r="I184" s="5" t="inlineStr">
        <is>
          <t>Fresh Test (&lt;30d)</t>
        </is>
      </c>
      <c r="J184" s="5" t="inlineStr">
        <is>
          <t>Learn More</t>
        </is>
      </c>
      <c r="K184" s="6" t="inlineStr">
        <is>
          <t>No Floor-Rise Charges on King-size 3 &amp; 4 BHK residences from ₹1.84 Cr* at Wildernest at SP Kingstown by Shapoorji Pallon</t>
        </is>
      </c>
      <c r="L184" s="6"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M184" s="5" t="inlineStr">
        <is>
          <t>https://www.facebook.com/ads/library/?id=1070312225488584</t>
        </is>
      </c>
    </row>
    <row r="185">
      <c r="A185" s="7" t="n">
        <v>164</v>
      </c>
      <c r="B185" s="7" t="inlineStr">
        <is>
          <t>Hyderabad Luxury Properties</t>
        </is>
      </c>
      <c r="C185" s="7" t="inlineStr">
        <is>
          <t>Real Estate Developer (Location-Piggyback)</t>
        </is>
      </c>
      <c r="D185" s="7" t="inlineStr">
        <is>
          <t>Lulu Mall Hyderabad</t>
        </is>
      </c>
      <c r="E185" s="7" t="inlineStr">
        <is>
          <t>Hyderabad</t>
        </is>
      </c>
      <c r="F185" s="7" t="inlineStr">
        <is>
          <t>LIVE</t>
        </is>
      </c>
      <c r="G185" s="7" t="inlineStr">
        <is>
          <t>14 Aug 2026</t>
        </is>
      </c>
      <c r="H185" s="7" t="n">
        <v>19</v>
      </c>
      <c r="I185" s="7" t="inlineStr">
        <is>
          <t>Fresh Test (&lt;30d)</t>
        </is>
      </c>
      <c r="J185" s="7" t="inlineStr">
        <is>
          <t>Learn More</t>
        </is>
      </c>
      <c r="K185" s="8" t="inlineStr">
        <is>
          <t xml:space="preserve">🏙️ ASBL Broadway – Premium 3 &amp; 3.5 BHK Apartments in Financial District, Hyderabad  Experience elevated urban living at </t>
        </is>
      </c>
      <c r="L185" s="8"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M185" s="7" t="inlineStr">
        <is>
          <t>https://www.facebook.com/ads/library/?id=2979488115729852</t>
        </is>
      </c>
    </row>
    <row r="186">
      <c r="A186" s="5" t="n">
        <v>165</v>
      </c>
      <c r="B186" s="5" t="inlineStr">
        <is>
          <t>Hyderabad Luxury Properties</t>
        </is>
      </c>
      <c r="C186" s="5" t="inlineStr">
        <is>
          <t>Real Estate Developer (Location-Piggyback)</t>
        </is>
      </c>
      <c r="D186" s="5" t="inlineStr">
        <is>
          <t>Lulu Mall Hyderabad</t>
        </is>
      </c>
      <c r="E186" s="5" t="inlineStr">
        <is>
          <t>Hyderabad</t>
        </is>
      </c>
      <c r="F186" s="5" t="inlineStr">
        <is>
          <t>LIVE</t>
        </is>
      </c>
      <c r="G186" s="5" t="inlineStr">
        <is>
          <t>14 Aug 2026</t>
        </is>
      </c>
      <c r="H186" s="5" t="n">
        <v>19</v>
      </c>
      <c r="I186" s="5" t="inlineStr">
        <is>
          <t>Fresh Test (&lt;30d)</t>
        </is>
      </c>
      <c r="J186" s="5" t="inlineStr">
        <is>
          <t>Learn More</t>
        </is>
      </c>
      <c r="K186" s="6" t="inlineStr">
        <is>
          <t xml:space="preserve">🏙️ ASBL Broadway – Premium 3 &amp; 3.5 BHK Apartments in Financial District, Hyderabad  Experience elevated urban living at </t>
        </is>
      </c>
      <c r="L186" s="6"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M186" s="5" t="inlineStr">
        <is>
          <t>https://www.facebook.com/ads/library/?id=1402780558442656</t>
        </is>
      </c>
    </row>
    <row r="187">
      <c r="A187" s="7" t="n">
        <v>166</v>
      </c>
      <c r="B187" s="7" t="inlineStr">
        <is>
          <t>Hyderabad Luxury Properties</t>
        </is>
      </c>
      <c r="C187" s="7" t="inlineStr">
        <is>
          <t>Real Estate Developer (Location-Piggyback)</t>
        </is>
      </c>
      <c r="D187" s="7" t="inlineStr">
        <is>
          <t>Lulu Mall Hyderabad</t>
        </is>
      </c>
      <c r="E187" s="7" t="inlineStr">
        <is>
          <t>Hyderabad</t>
        </is>
      </c>
      <c r="F187" s="7" t="inlineStr">
        <is>
          <t>LIVE</t>
        </is>
      </c>
      <c r="G187" s="7" t="inlineStr">
        <is>
          <t>14 Aug 2026</t>
        </is>
      </c>
      <c r="H187" s="7" t="n">
        <v>19</v>
      </c>
      <c r="I187" s="7" t="inlineStr">
        <is>
          <t>Fresh Test (&lt;30d)</t>
        </is>
      </c>
      <c r="J187" s="7" t="inlineStr">
        <is>
          <t>Learn More</t>
        </is>
      </c>
      <c r="K187" s="8" t="inlineStr">
        <is>
          <t xml:space="preserve">🏙️ ASBL Broadway – Premium 3 &amp; 3.5 BHK Apartments in Financial District, Hyderabad  Experience elevated urban living at </t>
        </is>
      </c>
      <c r="L187" s="8"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M187" s="7" t="inlineStr">
        <is>
          <t>https://www.facebook.com/ads/library/?id=1326104692939397</t>
        </is>
      </c>
    </row>
    <row r="188">
      <c r="A188" s="5" t="n">
        <v>167</v>
      </c>
      <c r="B188" s="5" t="inlineStr">
        <is>
          <t>Hyderabad Luxury Properties</t>
        </is>
      </c>
      <c r="C188" s="5" t="inlineStr">
        <is>
          <t>Real Estate Developer (Location-Piggyback)</t>
        </is>
      </c>
      <c r="D188" s="5" t="inlineStr">
        <is>
          <t>Lulu Mall Hyderabad</t>
        </is>
      </c>
      <c r="E188" s="5" t="inlineStr">
        <is>
          <t>Hyderabad</t>
        </is>
      </c>
      <c r="F188" s="5" t="inlineStr">
        <is>
          <t>LIVE</t>
        </is>
      </c>
      <c r="G188" s="5" t="inlineStr">
        <is>
          <t>14 Aug 2026</t>
        </is>
      </c>
      <c r="H188" s="5" t="n">
        <v>19</v>
      </c>
      <c r="I188" s="5" t="inlineStr">
        <is>
          <t>Fresh Test (&lt;30d)</t>
        </is>
      </c>
      <c r="J188" s="5" t="inlineStr">
        <is>
          <t>Learn More</t>
        </is>
      </c>
      <c r="K188" s="6" t="inlineStr">
        <is>
          <t xml:space="preserve">🏙️ ASBL Broadway – Premium 3 &amp; 3.5 BHK Apartments in Financial District, Hyderabad  Experience elevated urban living at </t>
        </is>
      </c>
      <c r="L188" s="6"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M188" s="5" t="inlineStr">
        <is>
          <t>https://www.facebook.com/ads/library/?id=1365881905041403</t>
        </is>
      </c>
    </row>
    <row r="189">
      <c r="A189" s="7" t="n">
        <v>168</v>
      </c>
      <c r="B189" s="7" t="inlineStr">
        <is>
          <t>Hyderabad Luxury Properties</t>
        </is>
      </c>
      <c r="C189" s="7" t="inlineStr">
        <is>
          <t>Real Estate Developer (Location-Piggyback)</t>
        </is>
      </c>
      <c r="D189" s="7" t="inlineStr">
        <is>
          <t>Inorbit Mall Cyberabad</t>
        </is>
      </c>
      <c r="E189" s="7" t="inlineStr">
        <is>
          <t>Hyderabad</t>
        </is>
      </c>
      <c r="F189" s="7" t="inlineStr">
        <is>
          <t>LIVE</t>
        </is>
      </c>
      <c r="G189" s="7" t="inlineStr">
        <is>
          <t>14 Aug 2026</t>
        </is>
      </c>
      <c r="H189" s="7" t="n">
        <v>19</v>
      </c>
      <c r="I189" s="7" t="inlineStr">
        <is>
          <t>Fresh Test (&lt;30d)</t>
        </is>
      </c>
      <c r="J189" s="7" t="inlineStr">
        <is>
          <t>Learn More</t>
        </is>
      </c>
      <c r="K189" s="8" t="inlineStr">
        <is>
          <t xml:space="preserve">🏙️ ASBL Broadway – Premium 3 &amp; 3.5 BHK Apartments in Financial District, Hyderabad  Experience elevated urban living at </t>
        </is>
      </c>
      <c r="L189" s="8"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M189" s="7" t="inlineStr">
        <is>
          <t>https://www.facebook.com/ads/library/?id=1403293445047182</t>
        </is>
      </c>
    </row>
    <row r="190">
      <c r="A190" s="5" t="n">
        <v>169</v>
      </c>
      <c r="B190" s="5" t="inlineStr">
        <is>
          <t>Propelite Realty</t>
        </is>
      </c>
      <c r="C190" s="5" t="inlineStr">
        <is>
          <t>Real Estate Developer (Location-Piggyback)</t>
        </is>
      </c>
      <c r="D190" s="5" t="inlineStr">
        <is>
          <t>Seasons Mall Pune</t>
        </is>
      </c>
      <c r="E190" s="5" t="inlineStr">
        <is>
          <t>Pune</t>
        </is>
      </c>
      <c r="F190" s="5" t="inlineStr">
        <is>
          <t>LIVE</t>
        </is>
      </c>
      <c r="G190" s="5" t="inlineStr">
        <is>
          <t>15 Aug 2026</t>
        </is>
      </c>
      <c r="H190" s="5" t="n">
        <v>18</v>
      </c>
      <c r="I190" s="5" t="inlineStr">
        <is>
          <t>Fresh Test (&lt;30d)</t>
        </is>
      </c>
      <c r="J190" s="5" t="inlineStr">
        <is>
          <t>Learn More</t>
        </is>
      </c>
      <c r="K190" s="6" t="inlineStr">
        <is>
          <t>2 BHK @ ₹ 1 Cr All Inclusive, 3 BHK at 1.49 Cr All Inclusive ,  New Launch at Bhosale Garden , Hadapsar  Pune.</t>
        </is>
      </c>
      <c r="L190" s="6" t="inlineStr">
        <is>
          <t>2 BHK @ ₹ 1 Cr All Inclusive, 3 BHK at 1.49 Cr All Inclusive ,  New Launch at Bhosale Garden , Hadapsar  Pune.  👉Magarpatta City ,  2 min,  👉  Amanora and seasons mall 05 min a 👉  Pune - Solapur Highway sirf 01 min  Hurry Up Limited Period Offer with exclusive benefits.  Call on 96731 01003 or Press Get Quote Button for exclusive benefits  👉 Click “Get Quote ” to grab this once-in-a-lifetime opportunity! 0:00 / 0:30 FB.ME 2 BHK @ ₹ 1 Cr All Inclusive, 3 BHK at 1.49 Cr All Inclusive Get quote</t>
        </is>
      </c>
      <c r="M190" s="5" t="inlineStr">
        <is>
          <t>https://www.facebook.com/ads/library/?id=1052329467173691</t>
        </is>
      </c>
    </row>
    <row r="191">
      <c r="A191" s="7" t="n">
        <v>170</v>
      </c>
      <c r="B191" s="7" t="inlineStr">
        <is>
          <t>Propelite Realty</t>
        </is>
      </c>
      <c r="C191" s="7" t="inlineStr">
        <is>
          <t>Real Estate Developer (Location-Piggyback)</t>
        </is>
      </c>
      <c r="D191" s="7" t="inlineStr">
        <is>
          <t>Seasons Mall Pune</t>
        </is>
      </c>
      <c r="E191" s="7" t="inlineStr">
        <is>
          <t>Pune</t>
        </is>
      </c>
      <c r="F191" s="7" t="inlineStr">
        <is>
          <t>LIVE</t>
        </is>
      </c>
      <c r="G191" s="7" t="inlineStr">
        <is>
          <t>15 Aug 2026</t>
        </is>
      </c>
      <c r="H191" s="7" t="n">
        <v>18</v>
      </c>
      <c r="I191" s="7" t="inlineStr">
        <is>
          <t>Fresh Test (&lt;30d)</t>
        </is>
      </c>
      <c r="J191" s="7" t="inlineStr">
        <is>
          <t>Learn More</t>
        </is>
      </c>
      <c r="K191" s="8" t="inlineStr">
        <is>
          <t>2 BHK @ ₹ 1 Cr All Inclusive, 3 BHK at 1.49 Cr All Inclusive ,  New Launch at Bhosale Garden , Hadapsar  Pune.</t>
        </is>
      </c>
      <c r="L191" s="8" t="inlineStr">
        <is>
          <t>2 BHK @ ₹ 1 Cr All Inclusive, 3 BHK at 1.49 Cr All Inclusive ,  New Launch at Bhosale Garden , Hadapsar  Pune.  👉Magarpatta City ,  2 min,  👉  Amanora and seasons mall 05 min a 👉  Pune - Solapur Highway sirf 01 min  Hurry Up Limited Period Offer with exclusive benefits.  Call on 96731 01003 or Press Get Quote Button for exclusive benefits  👉 Click “Get Quote ” to grab this once-in-a-lifetime opportunity! 0:00 / 0:40 FB.ME 2 BHK @ ₹ 1 Cr All Inclusive, 3 BHK at 1.49 Cr All Inclusive Get quote</t>
        </is>
      </c>
      <c r="M191" s="7" t="inlineStr">
        <is>
          <t>https://www.facebook.com/ads/library/?id=1041686795276970</t>
        </is>
      </c>
    </row>
    <row r="192">
      <c r="A192" s="5" t="n">
        <v>171</v>
      </c>
      <c r="B192" s="5" t="inlineStr">
        <is>
          <t>Luxury Residences</t>
        </is>
      </c>
      <c r="C192" s="5" t="inlineStr">
        <is>
          <t>Other Advertiser (Event / Service / Direct-to-Consumer)</t>
        </is>
      </c>
      <c r="D192" s="5" t="inlineStr">
        <is>
          <t>Seasons Mall Pune</t>
        </is>
      </c>
      <c r="E192" s="5" t="inlineStr">
        <is>
          <t>Pune</t>
        </is>
      </c>
      <c r="F192" s="5" t="inlineStr">
        <is>
          <t>LIVE</t>
        </is>
      </c>
      <c r="G192" s="5" t="inlineStr">
        <is>
          <t>16 Aug 2026</t>
        </is>
      </c>
      <c r="H192" s="5" t="n">
        <v>17</v>
      </c>
      <c r="I192" s="5" t="inlineStr">
        <is>
          <t>Fresh Test (&lt;30d)</t>
        </is>
      </c>
      <c r="J192" s="5" t="inlineStr">
        <is>
          <t>Learn More</t>
        </is>
      </c>
      <c r="K192" s="6" t="inlineStr">
        <is>
          <t>💥 Introducing 𝗕𝗶𝗿𝗹𝗮 𝗘𝘃𝗮𝗺 – Premium 𝟮 &amp; 𝟯 𝗕𝗛𝗞 Homes on 16.5 Acres, Starting @ ₹𝟴𝟯 𝗟𝗮𝗸𝗵𝘀*📍 Manjari BK, Hadapsar Annex, Pun</t>
        </is>
      </c>
      <c r="L192" s="6" t="inlineStr">
        <is>
          <t>💥 Introducing 𝗕𝗶𝗿𝗹𝗮 𝗘𝘃𝗮𝗺 – Premium 𝟮 &amp; 𝟯 𝗕𝗛𝗞 Homes on 16.5 Acres, Starting @ ₹𝟴𝟯 𝗟𝗮𝗸𝗵𝘀*📍 Manjari BK, Hadapsar Annex, Pune.  🔥 20*5 𝗙𝗹𝗲𝘅𝗶 𝗣𝗮𝘆𝗺𝗲𝗻𝘁 𝗣𝗹𝗮𝗻 Available Excluding SDR.  🌿 16.5 Acres | 10+ Acres Green Living 🏢 Iconic Towers | G+P+28 Floors 🏡 40+ Lifestyle Amenities | 41,000 Sq. Ft. Grand Clubhouse  📍 Prime Connectivity: ✅ 10 mins to Magarpatta IT Park ✅ 10 mins to Amanora &amp; Seasons Mall ✅ 30 mins to Pune International Airport  ✨ Perfect blend of</t>
        </is>
      </c>
      <c r="M192" s="5" t="inlineStr">
        <is>
          <t>https://www.facebook.com/ads/library/?id=2074512079837125</t>
        </is>
      </c>
    </row>
    <row r="193">
      <c r="A193" s="7" t="n">
        <v>172</v>
      </c>
      <c r="B193" s="7" t="inlineStr">
        <is>
          <t>Luxury Residences</t>
        </is>
      </c>
      <c r="C193" s="7" t="inlineStr">
        <is>
          <t>Other Advertiser (Event / Service / Direct-to-Consumer)</t>
        </is>
      </c>
      <c r="D193" s="7" t="inlineStr">
        <is>
          <t>Seasons Mall Pune</t>
        </is>
      </c>
      <c r="E193" s="7" t="inlineStr">
        <is>
          <t>Pune</t>
        </is>
      </c>
      <c r="F193" s="7" t="inlineStr">
        <is>
          <t>LIVE</t>
        </is>
      </c>
      <c r="G193" s="7" t="inlineStr">
        <is>
          <t>16 Aug 2026</t>
        </is>
      </c>
      <c r="H193" s="7" t="n">
        <v>17</v>
      </c>
      <c r="I193" s="7" t="inlineStr">
        <is>
          <t>Fresh Test (&lt;30d)</t>
        </is>
      </c>
      <c r="J193" s="7" t="inlineStr">
        <is>
          <t>Get Offer</t>
        </is>
      </c>
      <c r="K193" s="8" t="inlineStr">
        <is>
          <t>💥 Introducing 𝗕𝗶𝗿𝗹𝗮 𝗘𝘃𝗮𝗺 – Premium 𝟮 &amp; 𝟯 𝗕𝗛𝗞 Homes on 16.5 Acres, Starting @ ₹𝟴𝟯 𝗟𝗮𝗸𝗵𝘀*📍 Manjari BK, Hadapsar Annex, Pun</t>
        </is>
      </c>
      <c r="L193" s="8" t="inlineStr">
        <is>
          <t>💥 Introducing 𝗕𝗶𝗿𝗹𝗮 𝗘𝘃𝗮𝗺 – Premium 𝟮 &amp; 𝟯 𝗕𝗛𝗞 Homes on 16.5 Acres, Starting @ ₹𝟴𝟯 𝗟𝗮𝗸𝗵𝘀*📍 Manjari BK, Hadapsar Annex, Pune.  🔥 20*5 𝗙𝗹𝗲𝘅𝗶 𝗣𝗮𝘆𝗺𝗲𝗻𝘁 𝗣𝗹𝗮𝗻 Available Excluding SDR.  🌿 16.5 Acres | 10+ Acres Green Living 🏢 Iconic Towers | G+P+28 Floors 🏡 40+ Lifestyle Amenities | 41,000 Sq. Ft. Grand Clubhouse  📍 Prime Connectivity: ✅ 10 mins to Magarpatta IT Park ✅ 10 mins to Amanora &amp; Seasons Mall ✅ 30 mins to Pune International Airport  ✨ Perfect blend of</t>
        </is>
      </c>
      <c r="M193" s="7" t="inlineStr">
        <is>
          <t>https://www.facebook.com/ads/library/?id=2199697207477718</t>
        </is>
      </c>
    </row>
    <row r="194">
      <c r="A194" s="5" t="n">
        <v>173</v>
      </c>
      <c r="B194" s="5" t="inlineStr">
        <is>
          <t>Copper Chimney</t>
        </is>
      </c>
      <c r="C194" s="5" t="inlineStr">
        <is>
          <t>Tenant / Retail Brand (Co-Op Candidate)</t>
        </is>
      </c>
      <c r="D194" s="5" t="inlineStr">
        <is>
          <t>KOPA Mall Pune</t>
        </is>
      </c>
      <c r="E194" s="5" t="inlineStr">
        <is>
          <t>Pune</t>
        </is>
      </c>
      <c r="F194" s="5" t="inlineStr">
        <is>
          <t>LIVE</t>
        </is>
      </c>
      <c r="G194" s="5" t="inlineStr">
        <is>
          <t>16 Aug 2026</t>
        </is>
      </c>
      <c r="H194" s="5" t="n">
        <v>17</v>
      </c>
      <c r="I194" s="5" t="inlineStr">
        <is>
          <t>Fresh Test (&lt;30d)</t>
        </is>
      </c>
      <c r="J194" s="5" t="inlineStr">
        <is>
          <t>Learn More</t>
        </is>
      </c>
      <c r="K194" s="6" t="inlineStr">
        <is>
          <t>Three outlets.</t>
        </is>
      </c>
      <c r="L194" s="6" t="inlineStr">
        <is>
          <t>Three outlets. One legacy. ❤️  Copper Chimney is coming to Kopa Mall, Pune.  A new home for the flavours, stories and warmth that have been part of our journey for over five decades.  Coming soon  (Copper Chimney, Kopa Mall, Pune, New Outlet, Coming Soon, Indian Cuisine, Iconic Flavours, 50 Years of Legacy, Dining in Pune) 0:00 / 0:17 ​ Active</t>
        </is>
      </c>
      <c r="M194" s="5" t="inlineStr">
        <is>
          <t>https://www.facebook.com/ads/library/?id=3596774980494370</t>
        </is>
      </c>
    </row>
    <row r="195">
      <c r="A195" s="7" t="n">
        <v>174</v>
      </c>
      <c r="B195" s="7" t="inlineStr">
        <is>
          <t>Deshmukh Hitech Irrigation &amp; Farm Agencies</t>
        </is>
      </c>
      <c r="C195" s="7" t="inlineStr">
        <is>
          <t>Other Advertiser (Event / Service / Direct-to-Consumer)</t>
        </is>
      </c>
      <c r="D195" s="7" t="inlineStr">
        <is>
          <t>Seasons Mall Pune</t>
        </is>
      </c>
      <c r="E195" s="7" t="inlineStr">
        <is>
          <t>Pune</t>
        </is>
      </c>
      <c r="F195" s="7" t="inlineStr">
        <is>
          <t>LIVE</t>
        </is>
      </c>
      <c r="G195" s="7" t="inlineStr">
        <is>
          <t>17 Aug 2026</t>
        </is>
      </c>
      <c r="H195" s="7" t="n">
        <v>16</v>
      </c>
      <c r="I195" s="7" t="inlineStr">
        <is>
          <t>Fresh Test (&lt;30d)</t>
        </is>
      </c>
      <c r="J195" s="7" t="inlineStr">
        <is>
          <t>Learn More</t>
        </is>
      </c>
      <c r="K195" s="8" t="inlineStr">
        <is>
          <t>ड्रोन खरेदीसाठी संपूर्ण महाराष्ट्राचा सर्वाधिक विश्वसनीय ब्रँड — देशमुख हायटेक!</t>
        </is>
      </c>
      <c r="L195" s="8" t="inlineStr">
        <is>
          <t>ड्रोन खरेदीसाठी संपूर्ण महाराष्ट्राचा सर्वाधिक विश्वसनीय ब्रँड — देशमुख हायटेक!   कृषि विभागाच्या (महाडिबीटी) यांत्रिकीकरण योजनेतून संपूर्ण महाराष्ट्रातील ग्राहकांच्या विश्वासास पात्र ठरलेला मारुत ड्रोन हा आमच्या आदरणीय ग्राहकांची पहिली पसंती ठरला आहे. अधिक माहितीसाठी खालील क्रमांकावर संपर्क साधा.  .  .  📍Head Office-  Sortapwadi, Opposite Alpha Petrol Pump, Uruli Kanchan, Solapur Road, Pune.  📍Corporate office-  7020, Marvel Feugo, Opp Seasons Mall, Hadapsar Pune.  📍Branch Office-  Kedgaon C</t>
        </is>
      </c>
      <c r="M195" s="7" t="inlineStr">
        <is>
          <t>https://www.facebook.com/ads/library/?id=1091452543824021</t>
        </is>
      </c>
    </row>
    <row r="196">
      <c r="A196" s="5" t="n">
        <v>175</v>
      </c>
      <c r="B196" s="5" t="inlineStr">
        <is>
          <t>Luxury Residences</t>
        </is>
      </c>
      <c r="C196" s="5" t="inlineStr">
        <is>
          <t>Other Advertiser (Event / Service / Direct-to-Consumer)</t>
        </is>
      </c>
      <c r="D196" s="5" t="inlineStr">
        <is>
          <t>Seasons Mall Pune</t>
        </is>
      </c>
      <c r="E196" s="5" t="inlineStr">
        <is>
          <t>Pune</t>
        </is>
      </c>
      <c r="F196" s="5" t="inlineStr">
        <is>
          <t>LIVE</t>
        </is>
      </c>
      <c r="G196" s="5" t="inlineStr">
        <is>
          <t>17 Aug 2026</t>
        </is>
      </c>
      <c r="H196" s="5" t="n">
        <v>16</v>
      </c>
      <c r="I196" s="5" t="inlineStr">
        <is>
          <t>Fresh Test (&lt;30d)</t>
        </is>
      </c>
      <c r="J196" s="5" t="inlineStr">
        <is>
          <t>Learn More</t>
        </is>
      </c>
      <c r="K196" s="6" t="inlineStr">
        <is>
          <t>💥 Introducing 𝗕𝗶𝗿𝗹𝗮 𝗘𝘃𝗮𝗺 – Premium 𝟮 &amp; 𝟯 𝗕𝗛𝗞 Homes on 16.5 Acres, Starting @ ₹𝟴𝟯 𝗟𝗮𝗸𝗵𝘀*📍 Manjari BK, Hadapsar Annex, Pun</t>
        </is>
      </c>
      <c r="L196" s="6" t="inlineStr">
        <is>
          <t>💥 Introducing 𝗕𝗶𝗿𝗹𝗮 𝗘𝘃𝗮𝗺 – Premium 𝟮 &amp; 𝟯 𝗕𝗛𝗞 Homes on 16.5 Acres, Starting @ ₹𝟴𝟯 𝗟𝗮𝗸𝗵𝘀*📍 Manjari BK, Hadapsar Annex, Pune.  🔥 20*5 𝗙𝗹𝗲𝘅𝗶 𝗣𝗮𝘆𝗺𝗲𝗻𝘁 𝗣𝗹𝗮𝗻 Available Excluding SDR.  🌿 16.5 Acres | 10+ Acres Green Living 🏢 Iconic Towers | G+P+28 Floors 🏡 40+ Lifestyle Amenities | 41,000 Sq. Ft. Grand Clubhouse  📍 Prime Connectivity: ✅ 10 mins to Magarpatta IT Park ✅ 10 mins to Amanora &amp; Seasons Mall ✅ 30 mins to Pune International Airport  ✨ Perfect blend of</t>
        </is>
      </c>
      <c r="M196" s="5" t="inlineStr">
        <is>
          <t>https://www.facebook.com/ads/library/?id=1410580201032241</t>
        </is>
      </c>
    </row>
    <row r="197">
      <c r="A197" s="7" t="n">
        <v>176</v>
      </c>
      <c r="B197" s="7" t="inlineStr">
        <is>
          <t>Shapoorji Pallonji Real Estate</t>
        </is>
      </c>
      <c r="C197" s="7" t="inlineStr">
        <is>
          <t>Real Estate Developer (Location-Piggyback)</t>
        </is>
      </c>
      <c r="D197" s="7" t="inlineStr">
        <is>
          <t>Seasons Mall Pune</t>
        </is>
      </c>
      <c r="E197" s="7" t="inlineStr">
        <is>
          <t>Pune</t>
        </is>
      </c>
      <c r="F197" s="7" t="inlineStr">
        <is>
          <t>LIVE</t>
        </is>
      </c>
      <c r="G197" s="7" t="inlineStr">
        <is>
          <t>17 Aug 2026</t>
        </is>
      </c>
      <c r="H197" s="7" t="n">
        <v>16</v>
      </c>
      <c r="I197" s="7" t="inlineStr">
        <is>
          <t>Fresh Test (&lt;30d)</t>
        </is>
      </c>
      <c r="J197" s="7" t="inlineStr">
        <is>
          <t>Learn More</t>
        </is>
      </c>
      <c r="K197" s="8" t="inlineStr">
        <is>
          <t>No Floor-Rise Charges on King-size 3 &amp; 4 BHK residences from ₹1.84 Cr* at Wildernest at SP Kingstown by Shapoorji Pallon</t>
        </is>
      </c>
      <c r="L197" s="8"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M197" s="7" t="inlineStr">
        <is>
          <t>https://www.facebook.com/ads/library/?id=1430758902245778</t>
        </is>
      </c>
    </row>
    <row r="198">
      <c r="A198" s="5" t="n">
        <v>177</v>
      </c>
      <c r="B198" s="5" t="inlineStr">
        <is>
          <t>Shapoorji Pallonji Real Estate</t>
        </is>
      </c>
      <c r="C198" s="5" t="inlineStr">
        <is>
          <t>Real Estate Developer (Location-Piggyback)</t>
        </is>
      </c>
      <c r="D198" s="5" t="inlineStr">
        <is>
          <t>Seasons Mall Pune</t>
        </is>
      </c>
      <c r="E198" s="5" t="inlineStr">
        <is>
          <t>Pune</t>
        </is>
      </c>
      <c r="F198" s="5" t="inlineStr">
        <is>
          <t>LIVE</t>
        </is>
      </c>
      <c r="G198" s="5" t="inlineStr">
        <is>
          <t>17 Aug 2026</t>
        </is>
      </c>
      <c r="H198" s="5" t="n">
        <v>16</v>
      </c>
      <c r="I198" s="5" t="inlineStr">
        <is>
          <t>Fresh Test (&lt;30d)</t>
        </is>
      </c>
      <c r="J198" s="5" t="inlineStr">
        <is>
          <t>Learn More</t>
        </is>
      </c>
      <c r="K198" s="6" t="inlineStr">
        <is>
          <t>No Floor-Rise Charges on King-size 3 &amp; 4 BHK residences from ₹1.84 Cr* at Wildernest at SP Kingstown by Shapoorji Pallon</t>
        </is>
      </c>
      <c r="L198" s="6"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M198" s="5" t="inlineStr">
        <is>
          <t>https://www.facebook.com/ads/library/?id=3186835248177586</t>
        </is>
      </c>
    </row>
    <row r="199">
      <c r="A199" s="7" t="n">
        <v>178</v>
      </c>
      <c r="B199" s="7" t="inlineStr">
        <is>
          <t>Shapoorji Pallonji Real Estate</t>
        </is>
      </c>
      <c r="C199" s="7" t="inlineStr">
        <is>
          <t>Real Estate Developer (Location-Piggyback)</t>
        </is>
      </c>
      <c r="D199" s="7" t="inlineStr">
        <is>
          <t>Seasons Mall Pune</t>
        </is>
      </c>
      <c r="E199" s="7" t="inlineStr">
        <is>
          <t>Pune</t>
        </is>
      </c>
      <c r="F199" s="7" t="inlineStr">
        <is>
          <t>off</t>
        </is>
      </c>
      <c r="G199" s="7" t="inlineStr">
        <is>
          <t>17 Aug 2026</t>
        </is>
      </c>
      <c r="H199" s="7" t="n">
        <v>16</v>
      </c>
      <c r="I199" s="7" t="inlineStr">
        <is>
          <t>Fresh Test (&lt;30d)</t>
        </is>
      </c>
      <c r="J199" s="7" t="inlineStr">
        <is>
          <t>Learn More</t>
        </is>
      </c>
      <c r="K199" s="8" t="inlineStr">
        <is>
          <t>No Floor-Rise Charges on King-size 3 &amp; 4 BHK residences from ₹1.84 Cr* at Wildernest at SP Kingstown by Shapoorji Pallon</t>
        </is>
      </c>
      <c r="L199" s="8"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M199" s="7" t="inlineStr">
        <is>
          <t>https://www.facebook.com/ads/library/?id=861249480257514</t>
        </is>
      </c>
    </row>
    <row r="200">
      <c r="A200" s="5" t="n">
        <v>179</v>
      </c>
      <c r="B200" s="5" t="inlineStr">
        <is>
          <t>Ivana Jewels</t>
        </is>
      </c>
      <c r="C200" s="5" t="inlineStr">
        <is>
          <t>Other Advertiser (Event / Service / Direct-to-Consumer)</t>
        </is>
      </c>
      <c r="D200" s="5" t="inlineStr">
        <is>
          <t>Amanora Mall Pune</t>
        </is>
      </c>
      <c r="E200" s="5" t="inlineStr">
        <is>
          <t>Pune</t>
        </is>
      </c>
      <c r="F200" s="5" t="inlineStr">
        <is>
          <t>LIVE</t>
        </is>
      </c>
      <c r="G200" s="5" t="inlineStr">
        <is>
          <t>17 Aug 2026</t>
        </is>
      </c>
      <c r="H200" s="5" t="n">
        <v>16</v>
      </c>
      <c r="I200" s="5" t="inlineStr">
        <is>
          <t>Fresh Test (&lt;30d)</t>
        </is>
      </c>
      <c r="J200" s="5" t="inlineStr">
        <is>
          <t>Learn More</t>
        </is>
      </c>
      <c r="K200" s="6" t="inlineStr">
        <is>
          <t>Toi Et Moi Diamond Ring  Crafted in IGI Certified Lab-Grown Diamonds Set in 14KT or 18KT Hallmarked Gold Elegant.</t>
        </is>
      </c>
      <c r="L200" s="6" t="inlineStr">
        <is>
          <t>Toi Et Moi Diamond Ring  Crafted in IGI Certified Lab-Grown Diamonds Set in 14KT or 18KT Hallmarked Gold Elegant. Everyday. Effortless.  Store Locations: BROADWAY IVANA KOPA MALL &amp; Amanora Mall, Pune  Online: ivanajewels.com 0:00 / 0:21 API.WHATSAPP.COM Connect me to Pune Team Get quote ​ Active</t>
        </is>
      </c>
      <c r="M200" s="5" t="inlineStr">
        <is>
          <t>https://www.facebook.com/ads/library/?id=888704564007607</t>
        </is>
      </c>
    </row>
    <row r="201">
      <c r="A201" s="7" t="n">
        <v>180</v>
      </c>
      <c r="B201" s="7" t="inlineStr">
        <is>
          <t>Pristine Developers</t>
        </is>
      </c>
      <c r="C201" s="7" t="inlineStr">
        <is>
          <t>Real Estate Developer (Location-Piggyback)</t>
        </is>
      </c>
      <c r="D201" s="7" t="inlineStr">
        <is>
          <t>KOPA Mall Pune</t>
        </is>
      </c>
      <c r="E201" s="7" t="inlineStr">
        <is>
          <t>Pune</t>
        </is>
      </c>
      <c r="F201" s="7" t="inlineStr">
        <is>
          <t>LIVE</t>
        </is>
      </c>
      <c r="G201" s="7" t="inlineStr">
        <is>
          <t>17 Aug 2026</t>
        </is>
      </c>
      <c r="H201" s="7" t="n">
        <v>16</v>
      </c>
      <c r="I201" s="7" t="inlineStr">
        <is>
          <t>Fresh Test (&lt;30d)</t>
        </is>
      </c>
      <c r="J201" s="7" t="inlineStr">
        <is>
          <t>Learn More</t>
        </is>
      </c>
      <c r="K201" s="8" t="inlineStr">
        <is>
          <t>Inspired by the elegance of Saif Ali Khan.</t>
        </is>
      </c>
      <c r="L201" s="8"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0:00 / 0:10 ​ Active</t>
        </is>
      </c>
      <c r="M201" s="7" t="inlineStr">
        <is>
          <t>https://www.facebook.com/ads/library/?id=1684383870356202</t>
        </is>
      </c>
    </row>
    <row r="202">
      <c r="A202" s="5" t="n">
        <v>181</v>
      </c>
      <c r="B202" s="5" t="inlineStr">
        <is>
          <t>Spacious Homes</t>
        </is>
      </c>
      <c r="C202" s="5" t="inlineStr">
        <is>
          <t>Real Estate Developer (Location-Piggyback)</t>
        </is>
      </c>
      <c r="D202" s="5" t="inlineStr">
        <is>
          <t>Phoenix Mall of the Millennium Wakad</t>
        </is>
      </c>
      <c r="E202" s="5" t="inlineStr">
        <is>
          <t>Pune</t>
        </is>
      </c>
      <c r="F202" s="5" t="inlineStr">
        <is>
          <t>LIVE</t>
        </is>
      </c>
      <c r="G202" s="5" t="inlineStr">
        <is>
          <t>18 Aug 2026</t>
        </is>
      </c>
      <c r="H202" s="5" t="n">
        <v>15</v>
      </c>
      <c r="I202" s="5" t="inlineStr">
        <is>
          <t>Fresh Test (&lt;30d)</t>
        </is>
      </c>
      <c r="J202" s="5" t="inlineStr">
        <is>
          <t>Learn More</t>
        </is>
      </c>
      <c r="K202" s="6" t="inlineStr">
        <is>
          <t xml:space="preserve">🔥 KEY USPs 🌿 69% Open Spaces ✨ 70+ Lifestyle Amenities 🏙️ Premium High-Rise Towers 🛍️ Integrated Commercial High Street </t>
        </is>
      </c>
      <c r="L202" s="6" t="inlineStr">
        <is>
          <t>🔥 KEY USPs 🌿 69% Open Spaces ✨ 70+ Lifestyle Amenities 🏙️ Premium High-Rise Towers 🛍️ Integrated Commercial High Street 🛣️ Direct Mumbai–Bengaluru Highway Connectivity 💼 Close to Hinjewadi IT Hub 📈 Future-Ready Punawale Location  📍 KEY CONNECTIVITY 🚗 2 Mins – Punawale Main Road 🛣️ 5 Mins – Aundh–Ravet BRTS Road 💻 10 Mins – Hinjewadi IT Park 🛍️ 10 Mins – Phoenix Mall of the Millennium FB.ME Unlock Exclusive Launch Benefits – Enquire Now Get quote ​ Active</t>
        </is>
      </c>
      <c r="M202" s="5" t="inlineStr">
        <is>
          <t>https://www.facebook.com/ads/library/?id=1609347231204607</t>
        </is>
      </c>
    </row>
    <row r="203">
      <c r="A203" s="7" t="n">
        <v>182</v>
      </c>
      <c r="B203" s="7" t="inlineStr">
        <is>
          <t>Luxury 3 BHK Ravet</t>
        </is>
      </c>
      <c r="C203" s="7" t="inlineStr">
        <is>
          <t>Real Estate Developer (Location-Piggyback)</t>
        </is>
      </c>
      <c r="D203" s="7" t="inlineStr">
        <is>
          <t>Phoenix Mall of the Millennium Wakad</t>
        </is>
      </c>
      <c r="E203" s="7" t="inlineStr">
        <is>
          <t>Pune</t>
        </is>
      </c>
      <c r="F203" s="7" t="inlineStr">
        <is>
          <t>off</t>
        </is>
      </c>
      <c r="G203" s="7" t="inlineStr">
        <is>
          <t>18 Aug 2026</t>
        </is>
      </c>
      <c r="H203" s="7" t="n">
        <v>15</v>
      </c>
      <c r="I203" s="7" t="inlineStr">
        <is>
          <t>Fresh Test (&lt;30d)</t>
        </is>
      </c>
      <c r="J203" s="7" t="inlineStr">
        <is>
          <t>Learn More</t>
        </is>
      </c>
      <c r="K203" s="8" t="inlineStr">
        <is>
          <t>Why choose between connectivity and comfort when you can have both?</t>
        </is>
      </c>
      <c r="L203" s="8" t="inlineStr">
        <is>
          <t>Why choose between connectivity and comfort when you can have both? ✨  Santiago Skytown brings thoughtfully designed  3 BHK homes to Ravet–Kiwale, placing everyday convenience and elevated living within easy reach.  📍 **Strategic Connectivity:** • 0.8 Km – Mumbai–Bangalore Highway • 3.2 Km – Akurdi Railway Station • 3.0 Km – D.Y. Patil University • 7.0 Km – Phoenix Mall of the Millennium • 7.0 Km – Wakad Metro Station  🏙️ **Lifestyle That Goes Beyond Four Walls:** • Rooftop community spaces •</t>
        </is>
      </c>
      <c r="M203" s="7" t="inlineStr">
        <is>
          <t>https://www.facebook.com/ads/library/?id=2406253089902175</t>
        </is>
      </c>
    </row>
    <row r="204">
      <c r="A204" s="5" t="n">
        <v>183</v>
      </c>
      <c r="B204" s="5" t="inlineStr">
        <is>
          <t>Sukhwani Skylines</t>
        </is>
      </c>
      <c r="C204" s="5" t="inlineStr">
        <is>
          <t>Other Advertiser (Event / Service / Direct-to-Consumer)</t>
        </is>
      </c>
      <c r="D204" s="5" t="inlineStr">
        <is>
          <t>Phoenix Mall of the Millennium Wakad</t>
        </is>
      </c>
      <c r="E204" s="5" t="inlineStr">
        <is>
          <t>Pune</t>
        </is>
      </c>
      <c r="F204" s="5" t="inlineStr">
        <is>
          <t>LIVE</t>
        </is>
      </c>
      <c r="G204" s="5" t="inlineStr">
        <is>
          <t>18 Aug 2026</t>
        </is>
      </c>
      <c r="H204" s="5" t="n">
        <v>15</v>
      </c>
      <c r="I204" s="5" t="inlineStr">
        <is>
          <t>Fresh Test (&lt;30d)</t>
        </is>
      </c>
      <c r="J204" s="5" t="inlineStr">
        <is>
          <t>Learn More</t>
        </is>
      </c>
      <c r="K204" s="6" t="inlineStr">
        <is>
          <t>Why wait for years?</t>
        </is>
      </c>
      <c r="L204" s="6" t="inlineStr">
        <is>
          <t>Why wait for years? Start living today 𝐁𝐨𝐨𝐤 𝐑𝐞𝐚𝐝𝐲-𝐭𝐨-𝐌𝐨𝐯𝐞 𝐢𝐧 𝟑 𝐁𝐇𝐊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0:00 / 0:39 ​ Active</t>
        </is>
      </c>
      <c r="M204" s="5" t="inlineStr">
        <is>
          <t>https://www.facebook.com/ads/library/?id=2062685857786618</t>
        </is>
      </c>
    </row>
    <row r="205">
      <c r="A205" s="7" t="n">
        <v>184</v>
      </c>
      <c r="B205" s="7" t="inlineStr">
        <is>
          <t>Sukhwani Skylines</t>
        </is>
      </c>
      <c r="C205" s="7" t="inlineStr">
        <is>
          <t>Real Estate Developer (Location-Piggyback)</t>
        </is>
      </c>
      <c r="D205" s="7" t="inlineStr">
        <is>
          <t>Phoenix Mall of the Millennium Wakad</t>
        </is>
      </c>
      <c r="E205" s="7" t="inlineStr">
        <is>
          <t>Pune</t>
        </is>
      </c>
      <c r="F205" s="7" t="inlineStr">
        <is>
          <t>LIVE</t>
        </is>
      </c>
      <c r="G205" s="7" t="inlineStr">
        <is>
          <t>18 Aug 2026</t>
        </is>
      </c>
      <c r="H205" s="7" t="n">
        <v>15</v>
      </c>
      <c r="I205" s="7" t="inlineStr">
        <is>
          <t>Fresh Test (&lt;30d)</t>
        </is>
      </c>
      <c r="J205" s="7" t="inlineStr">
        <is>
          <t>Learn More</t>
        </is>
      </c>
      <c r="K205" s="8" t="inlineStr">
        <is>
          <t>Why wait for years?</t>
        </is>
      </c>
      <c r="L205" s="8" t="inlineStr">
        <is>
          <t>Why wait for years? Start living today 𝐁𝐨𝐨𝐤 𝐑𝐞𝐚𝐝𝐲-𝐭𝐨-𝐌𝐨𝐯𝐞 𝐢𝐧 𝟑 𝐁𝐇𝐊 Homes at Sukhwani Skylines in Wakad.   ✅ Save big on Waiting Expenses ✅ PROKIDS™ Homes  ✅ 6-Acre Landmark Project ✅ 5 Levels of Amenities ✅ 40,000+ sq. ft. Central Amenity Space  ✅ Pune's Largest Private Theatre ✅ 2 mins from Phoenix Mall of Millennium  ✅ Only 500m from Bhumkar Chowk  Limited Units Left. Enquire Now! FB.ME Ready 3 BHK in Wakad Nr EON West IT Park From ₹1.28 Cr* Say No to Wait. And Save with R</t>
        </is>
      </c>
      <c r="M205" s="7" t="inlineStr">
        <is>
          <t>https://www.facebook.com/ads/library/?id=1401170465263738</t>
        </is>
      </c>
    </row>
    <row r="206">
      <c r="A206" s="5" t="n">
        <v>185</v>
      </c>
      <c r="B206" s="5" t="inlineStr">
        <is>
          <t>Shyaway.com</t>
        </is>
      </c>
      <c r="C206" s="5" t="inlineStr">
        <is>
          <t>Other Advertiser (Event / Service / Direct-to-Consumer)</t>
        </is>
      </c>
      <c r="D206" s="5" t="inlineStr">
        <is>
          <t>Lulu Mall Hyderabad</t>
        </is>
      </c>
      <c r="E206" s="5" t="inlineStr">
        <is>
          <t>Hyderabad</t>
        </is>
      </c>
      <c r="F206" s="5" t="inlineStr">
        <is>
          <t>LIVE</t>
        </is>
      </c>
      <c r="G206" s="5" t="inlineStr">
        <is>
          <t>18 Aug 2026</t>
        </is>
      </c>
      <c r="H206" s="5" t="n">
        <v>15</v>
      </c>
      <c r="I206" s="5" t="inlineStr">
        <is>
          <t>Fresh Test (&lt;30d)</t>
        </is>
      </c>
      <c r="J206" s="5" t="inlineStr">
        <is>
          <t>Learn More</t>
        </is>
      </c>
      <c r="K206" s="6" t="inlineStr">
        <is>
          <t>✨ POV: You walked into Shyaway "just to browse"...</t>
        </is>
      </c>
      <c r="L206" s="6" t="inlineStr">
        <is>
          <t>✨ POV: You walked into Shyaway "just to browse"... and left with a whole new wardrobe! 💖🛍️ I recently visited Shyaway at Lulu Mall, Kochi,Kerala and I totally get the hype! 😍 From ultra-comfy everyday bras to stylish lingerie, cozy nightwear, activewear, and shapewear, every collection is designed to make you feel confident, comfortable, and beautiful. 💕 The fit? ✔️  The comfort? ✔️  The styles? Absolutely gorgeous! ✨ If you're planning your next shopping spree, make sure Shyaway is on your</t>
        </is>
      </c>
      <c r="M206" s="5" t="inlineStr">
        <is>
          <t>https://www.facebook.com/ads/library/?id=2452802011878149</t>
        </is>
      </c>
    </row>
    <row r="207">
      <c r="A207" s="7" t="n">
        <v>186</v>
      </c>
      <c r="B207" s="7" t="inlineStr">
        <is>
          <t>Shyaway.com</t>
        </is>
      </c>
      <c r="C207" s="7" t="inlineStr">
        <is>
          <t>Other Advertiser (Event / Service / Direct-to-Consumer)</t>
        </is>
      </c>
      <c r="D207" s="7" t="inlineStr">
        <is>
          <t>Lulu Mall Hyderabad</t>
        </is>
      </c>
      <c r="E207" s="7" t="inlineStr">
        <is>
          <t>Hyderabad</t>
        </is>
      </c>
      <c r="F207" s="7" t="inlineStr">
        <is>
          <t>LIVE</t>
        </is>
      </c>
      <c r="G207" s="7" t="inlineStr">
        <is>
          <t>18 Aug 2026</t>
        </is>
      </c>
      <c r="H207" s="7" t="n">
        <v>15</v>
      </c>
      <c r="I207" s="7" t="inlineStr">
        <is>
          <t>Fresh Test (&lt;30d)</t>
        </is>
      </c>
      <c r="J207" s="7" t="inlineStr">
        <is>
          <t>Learn More</t>
        </is>
      </c>
      <c r="K207" s="8" t="inlineStr">
        <is>
          <t>✨ POV: You walked into Shyaway "just to browse"...</t>
        </is>
      </c>
      <c r="L207" s="8" t="inlineStr">
        <is>
          <t>✨ POV: You walked into Shyaway "just to browse"... and left with a whole new wardrobe! 💖🛍️ I recently visited Shyaway at Lulu Mall, Kochi,Kerala and I totally get the hype! 😍 From ultra-comfy everyday bras to stylish lingerie, cozy nightwear, activewear, and shapewear, every collection is designed to make you feel confident, comfortable, and beautiful. 💕 The fit? ✔️  The comfort? ✔️  The styles? Absolutely gorgeous! ✨ If you're planning your next shopping spree, make sure Shyaway is on your</t>
        </is>
      </c>
      <c r="M207" s="7" t="inlineStr">
        <is>
          <t>https://www.facebook.com/ads/library/?id=1789989969014514</t>
        </is>
      </c>
    </row>
    <row r="208">
      <c r="A208" s="5" t="n">
        <v>187</v>
      </c>
      <c r="B208" s="5" t="inlineStr">
        <is>
          <t>Shyaway.com</t>
        </is>
      </c>
      <c r="C208" s="5" t="inlineStr">
        <is>
          <t>Other Advertiser (Event / Service / Direct-to-Consumer)</t>
        </is>
      </c>
      <c r="D208" s="5" t="inlineStr">
        <is>
          <t>Lulu Mall Hyderabad</t>
        </is>
      </c>
      <c r="E208" s="5" t="inlineStr">
        <is>
          <t>Hyderabad</t>
        </is>
      </c>
      <c r="F208" s="5" t="inlineStr">
        <is>
          <t>LIVE</t>
        </is>
      </c>
      <c r="G208" s="5" t="inlineStr">
        <is>
          <t>18 Aug 2026</t>
        </is>
      </c>
      <c r="H208" s="5" t="n">
        <v>15</v>
      </c>
      <c r="I208" s="5" t="inlineStr">
        <is>
          <t>Fresh Test (&lt;30d)</t>
        </is>
      </c>
      <c r="J208" s="5" t="inlineStr">
        <is>
          <t>Learn More</t>
        </is>
      </c>
      <c r="K208" s="6" t="inlineStr">
        <is>
          <t>✨ POV: You walked into Shyaway "just to browse"...</t>
        </is>
      </c>
      <c r="L208" s="6" t="inlineStr">
        <is>
          <t>✨ POV: You walked into Shyaway "just to browse"... and left with a whole new wardrobe! 💖🛍️ I recently visited Shyaway at Lulu Mall, Kochi,Kerala and I totally get the hype! 😍 From ultra-comfy everyday bras to stylish lingerie, cozy nightwear, activewear, and shapewear, every collection is designed to make you feel confident, comfortable, and beautiful. 💕 The fit? ✔️  The comfort? ✔️  The styles? Absolutely gorgeous! ✨ If you're planning your next shopping spree, make sure Shyaway is on your</t>
        </is>
      </c>
      <c r="M208" s="5" t="inlineStr">
        <is>
          <t>https://www.facebook.com/ads/library/?id=1402589968473131</t>
        </is>
      </c>
    </row>
    <row r="209">
      <c r="A209" s="7" t="n">
        <v>188</v>
      </c>
      <c r="B209" s="7" t="inlineStr">
        <is>
          <t>Truecarat Diamonds Pvt Ltd</t>
        </is>
      </c>
      <c r="C209" s="7" t="inlineStr">
        <is>
          <t>Other Advertiser (Event / Service / Direct-to-Consumer)</t>
        </is>
      </c>
      <c r="D209" s="7" t="inlineStr">
        <is>
          <t>Inorbit Mall Cyberabad</t>
        </is>
      </c>
      <c r="E209" s="7" t="inlineStr">
        <is>
          <t>Hyderabad</t>
        </is>
      </c>
      <c r="F209" s="7" t="inlineStr">
        <is>
          <t>LIVE</t>
        </is>
      </c>
      <c r="G209" s="7" t="inlineStr">
        <is>
          <t>18 Aug 2026</t>
        </is>
      </c>
      <c r="H209" s="7" t="n">
        <v>15</v>
      </c>
      <c r="I209" s="7" t="inlineStr">
        <is>
          <t>Fresh Test (&lt;30d)</t>
        </is>
      </c>
      <c r="J209" s="7" t="inlineStr">
        <is>
          <t>Learn More</t>
        </is>
      </c>
      <c r="K209" s="8" t="inlineStr">
        <is>
          <t>India's Finest DESIGNER RINGS - Now in Vizag!</t>
        </is>
      </c>
      <c r="L209" s="8"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M209" s="7" t="inlineStr">
        <is>
          <t>https://www.facebook.com/ads/library/?id=1432705008733673</t>
        </is>
      </c>
    </row>
    <row r="210">
      <c r="A210" s="5" t="n">
        <v>189</v>
      </c>
      <c r="B210" s="5" t="inlineStr">
        <is>
          <t>Truecarat Diamonds Pvt Ltd</t>
        </is>
      </c>
      <c r="C210" s="5" t="inlineStr">
        <is>
          <t>Other Advertiser (Event / Service / Direct-to-Consumer)</t>
        </is>
      </c>
      <c r="D210" s="5" t="inlineStr">
        <is>
          <t>Inorbit Mall Cyberabad</t>
        </is>
      </c>
      <c r="E210" s="5" t="inlineStr">
        <is>
          <t>Hyderabad</t>
        </is>
      </c>
      <c r="F210" s="5" t="inlineStr">
        <is>
          <t>LIVE</t>
        </is>
      </c>
      <c r="G210" s="5" t="inlineStr">
        <is>
          <t>18 Aug 2026</t>
        </is>
      </c>
      <c r="H210" s="5" t="n">
        <v>15</v>
      </c>
      <c r="I210" s="5" t="inlineStr">
        <is>
          <t>Fresh Test (&lt;30d)</t>
        </is>
      </c>
      <c r="J210" s="5" t="inlineStr">
        <is>
          <t>Learn More</t>
        </is>
      </c>
      <c r="K210" s="6" t="inlineStr">
        <is>
          <t>India's Finest DESIGNER RINGS - Now in Vizag!</t>
        </is>
      </c>
      <c r="L210" s="6"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M210" s="5" t="inlineStr">
        <is>
          <t>https://www.facebook.com/ads/library/?id=1058354263590878</t>
        </is>
      </c>
    </row>
    <row r="211">
      <c r="A211" s="7" t="n">
        <v>190</v>
      </c>
      <c r="B211" s="7" t="inlineStr">
        <is>
          <t>Truecarat Diamonds Pvt Ltd</t>
        </is>
      </c>
      <c r="C211" s="7" t="inlineStr">
        <is>
          <t>Other Advertiser (Event / Service / Direct-to-Consumer)</t>
        </is>
      </c>
      <c r="D211" s="7" t="inlineStr">
        <is>
          <t>Inorbit Mall Cyberabad</t>
        </is>
      </c>
      <c r="E211" s="7" t="inlineStr">
        <is>
          <t>Hyderabad</t>
        </is>
      </c>
      <c r="F211" s="7" t="inlineStr">
        <is>
          <t>LIVE</t>
        </is>
      </c>
      <c r="G211" s="7" t="inlineStr">
        <is>
          <t>18 Aug 2026</t>
        </is>
      </c>
      <c r="H211" s="7" t="n">
        <v>15</v>
      </c>
      <c r="I211" s="7" t="inlineStr">
        <is>
          <t>Fresh Test (&lt;30d)</t>
        </is>
      </c>
      <c r="J211" s="7" t="inlineStr">
        <is>
          <t>Learn More</t>
        </is>
      </c>
      <c r="K211" s="8" t="inlineStr">
        <is>
          <t>India's Finest DESIGNER RINGS - Now in Vizag!</t>
        </is>
      </c>
      <c r="L211" s="8"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M211" s="7" t="inlineStr">
        <is>
          <t>https://www.facebook.com/ads/library/?id=1507078874783986</t>
        </is>
      </c>
    </row>
    <row r="212">
      <c r="A212" s="5" t="n">
        <v>191</v>
      </c>
      <c r="B212" s="5" t="inlineStr">
        <is>
          <t>TasvaFashion</t>
        </is>
      </c>
      <c r="C212" s="5" t="inlineStr">
        <is>
          <t>Other Advertiser (Event / Service / Direct-to-Consumer)</t>
        </is>
      </c>
      <c r="D212" s="5" t="inlineStr">
        <is>
          <t>Phoenix Marketcity Pune</t>
        </is>
      </c>
      <c r="E212" s="5" t="inlineStr">
        <is>
          <t>Pune</t>
        </is>
      </c>
      <c r="F212" s="5" t="inlineStr">
        <is>
          <t>LIVE</t>
        </is>
      </c>
      <c r="G212" s="5" t="inlineStr">
        <is>
          <t>19 Aug 2026</t>
        </is>
      </c>
      <c r="H212" s="5" t="n">
        <v>14</v>
      </c>
      <c r="I212" s="5" t="inlineStr">
        <is>
          <t>Fresh Test (&lt;30d)</t>
        </is>
      </c>
      <c r="J212" s="5" t="inlineStr">
        <is>
          <t>Learn More</t>
        </is>
      </c>
      <c r="K212" s="6" t="inlineStr">
        <is>
          <t>Your special occasion deserves a look crafted just for you.</t>
        </is>
      </c>
      <c r="L212" s="6" t="inlineStr">
        <is>
          <t>Your special occasion deserves a look crafted just for you. ✨  Experience the TASVA Custom Program—where every outfit is designed around your style, comfort, and perfect fit. Get personalized styling assistance, expert tailoring, in-store trials, and extended sizes (2XL–6XL) to create a look that feels truly yours.  Now available at TASVA stores in Pune: 📍 MG Road 📍 Phoenix Marketcity  Book your personalized consultation today and experience the art of custom-made styling at TASVA. FB.ME TASVA</t>
        </is>
      </c>
      <c r="M212" s="5" t="inlineStr">
        <is>
          <t>https://www.facebook.com/ads/library/?id=1022445377286103</t>
        </is>
      </c>
    </row>
    <row r="213">
      <c r="A213" s="7" t="n">
        <v>192</v>
      </c>
      <c r="B213" s="7" t="inlineStr">
        <is>
          <t>Samsung</t>
        </is>
      </c>
      <c r="C213" s="7" t="inlineStr">
        <is>
          <t>Other Advertiser (Event / Service / Direct-to-Consumer)</t>
        </is>
      </c>
      <c r="D213" s="7" t="inlineStr">
        <is>
          <t>Phoenix Marketcity Pune</t>
        </is>
      </c>
      <c r="E213" s="7" t="inlineStr">
        <is>
          <t>Pune</t>
        </is>
      </c>
      <c r="F213" s="7" t="inlineStr">
        <is>
          <t>LIVE</t>
        </is>
      </c>
      <c r="G213" s="7" t="inlineStr">
        <is>
          <t>19 Aug 2026</t>
        </is>
      </c>
      <c r="H213" s="7" t="n">
        <v>14</v>
      </c>
      <c r="I213" s="7" t="inlineStr">
        <is>
          <t>Fresh Test (&lt;30d)</t>
        </is>
      </c>
      <c r="J213" s="7" t="inlineStr">
        <is>
          <t>Sign Up</t>
        </is>
      </c>
      <c r="K213" s="8" t="inlineStr">
        <is>
          <t>Own the new Galaxy Z Fold8 Ultra and Fold8 starting ₹ 8583*/ mo.</t>
        </is>
      </c>
      <c r="L213" s="8" t="inlineStr">
        <is>
          <t>Own the new Galaxy Z Fold8 Ultra and Fold8 starting ₹ 8583*/ mo. with Galaxy Forever. Get up to 55% Assured Buyback benefits and device protection with Samsung Care+ worth ₹ 32999*.Visit Samsung Experience Store, Phoenix Marketcity, Pune. Samsung Galaxy Foldables Own now with Galaxy Forever Sign Up ​ Active</t>
        </is>
      </c>
      <c r="M213" s="7" t="inlineStr">
        <is>
          <t>https://www.facebook.com/ads/library/?id=1711493073445787</t>
        </is>
      </c>
    </row>
    <row r="214">
      <c r="A214" s="5" t="n">
        <v>193</v>
      </c>
      <c r="B214" s="5" t="inlineStr">
        <is>
          <t>Tathawade - Wakad New Launch</t>
        </is>
      </c>
      <c r="C214" s="5" t="inlineStr">
        <is>
          <t>Real Estate Developer (Location-Piggyback)</t>
        </is>
      </c>
      <c r="D214" s="5" t="inlineStr">
        <is>
          <t>Phoenix Mall of the Millennium Wakad</t>
        </is>
      </c>
      <c r="E214" s="5" t="inlineStr">
        <is>
          <t>Pune</t>
        </is>
      </c>
      <c r="F214" s="5" t="inlineStr">
        <is>
          <t>LIVE</t>
        </is>
      </c>
      <c r="G214" s="5" t="inlineStr">
        <is>
          <t>19 Aug 2026</t>
        </is>
      </c>
      <c r="H214" s="5" t="n">
        <v>14</v>
      </c>
      <c r="I214" s="5" t="inlineStr">
        <is>
          <t>Fresh Test (&lt;30d)</t>
        </is>
      </c>
      <c r="J214" s="5" t="inlineStr">
        <is>
          <t>Learn More</t>
        </is>
      </c>
      <c r="K214" s="6" t="inlineStr">
        <is>
          <t>4, 3 &amp; 2 BHK, Next to Indira School, WAKAD *Show Flat for representation purpose only.</t>
        </is>
      </c>
      <c r="L214" s="6" t="inlineStr">
        <is>
          <t>4, 3 &amp; 2 BHK, Next to Indira School, WAKAD *Show Flat for representation purpose only. Please fill form to schedule show flat tour  Limited Period Offer Pricing -  ➦ 2 BHK - 1.06cr onwards  ➦ 3 BHK - 1.47cr onwards  ➦ 4 BHK - 1.98cr onwards  ➦ 5-Star Rooftop + On-Ground Club Experience ➦ Designer Walk-In Closet ➦ 40+ Amenities  ➦ Guest Sky Suites ➦ Sky WFH Pods ➦ Just mins from Phoenix Mall of the Millennium, JPSM - Dr. DY Patil - Balaji Colleges, Dmart,  Pulse Hospital and Bhumkar Chowk 0:00 /</t>
        </is>
      </c>
      <c r="M214" s="5" t="inlineStr">
        <is>
          <t>https://www.facebook.com/ads/library/?id=1520793339849786</t>
        </is>
      </c>
    </row>
    <row r="215">
      <c r="A215" s="7" t="n">
        <v>194</v>
      </c>
      <c r="B215" s="7" t="inlineStr">
        <is>
          <t>Shapoorji Pallonji Real Estate</t>
        </is>
      </c>
      <c r="C215" s="7" t="inlineStr">
        <is>
          <t>Real Estate Developer (Location-Piggyback)</t>
        </is>
      </c>
      <c r="D215" s="7" t="inlineStr">
        <is>
          <t>Seasons Mall Pune</t>
        </is>
      </c>
      <c r="E215" s="7" t="inlineStr">
        <is>
          <t>Pune</t>
        </is>
      </c>
      <c r="F215" s="7" t="inlineStr">
        <is>
          <t>LIVE</t>
        </is>
      </c>
      <c r="G215" s="7" t="inlineStr">
        <is>
          <t>19 Aug 2026</t>
        </is>
      </c>
      <c r="H215" s="7" t="n">
        <v>14</v>
      </c>
      <c r="I215" s="7" t="inlineStr">
        <is>
          <t>Fresh Test (&lt;30d)</t>
        </is>
      </c>
      <c r="J215" s="7" t="inlineStr">
        <is>
          <t>Learn More</t>
        </is>
      </c>
      <c r="K215" s="8" t="inlineStr">
        <is>
          <t>No Floor-Rise Charges on King-size 3 &amp; 4 BHK residences from ₹1.84 Cr* at Wildernest at SP Kingstown by Shapoorji Pallon</t>
        </is>
      </c>
      <c r="L215" s="8"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M215" s="7" t="inlineStr">
        <is>
          <t>https://www.facebook.com/ads/library/?id=3003129563190962</t>
        </is>
      </c>
    </row>
    <row r="216">
      <c r="A216" s="5" t="n">
        <v>195</v>
      </c>
      <c r="B216" s="5" t="inlineStr">
        <is>
          <t>Shapoorji Pallonji Real Estate</t>
        </is>
      </c>
      <c r="C216" s="5" t="inlineStr">
        <is>
          <t>Real Estate Developer (Location-Piggyback)</t>
        </is>
      </c>
      <c r="D216" s="5" t="inlineStr">
        <is>
          <t>Seasons Mall Pune</t>
        </is>
      </c>
      <c r="E216" s="5" t="inlineStr">
        <is>
          <t>Pune</t>
        </is>
      </c>
      <c r="F216" s="5" t="inlineStr">
        <is>
          <t>LIVE</t>
        </is>
      </c>
      <c r="G216" s="5" t="inlineStr">
        <is>
          <t>19 Aug 2026</t>
        </is>
      </c>
      <c r="H216" s="5" t="n">
        <v>14</v>
      </c>
      <c r="I216" s="5" t="inlineStr">
        <is>
          <t>Fresh Test (&lt;30d)</t>
        </is>
      </c>
      <c r="J216" s="5" t="inlineStr">
        <is>
          <t>Learn More</t>
        </is>
      </c>
      <c r="K216" s="6" t="inlineStr">
        <is>
          <t>No Floor-Rise Charges on King-size 3 &amp; 4 BHK residences from ₹1.84 Cr* at Wildernest at SP Kingstown by Shapoorji Pallon</t>
        </is>
      </c>
      <c r="L216" s="6" t="inlineStr">
        <is>
          <t>No Floor-Rise Charges on King-size 3 &amp; 4 BHK residences from ₹1.84 Cr* at Wildernest at SP Kingstown by Shapoorji Pallonji, Hadapsar annexe, Pune.   ✅10 mins Away from seasons Mall ✅Breathtaking view of the Sahyadri Range ✅King-size apartments with large decks ✅Seamless connectivity to the airport, railway station, hospitals, IT parks, and schools. ✅Exclusive amenities like Mini Golf, Infinity Pool, Cricket Pitch, Terrace Garden ✅Vastu Compliant Residences with airy layouts ✅Project is amidst Ma</t>
        </is>
      </c>
      <c r="M216" s="5" t="inlineStr">
        <is>
          <t>https://www.facebook.com/ads/library/?id=1232366185697421</t>
        </is>
      </c>
    </row>
    <row r="217">
      <c r="A217" s="7" t="n">
        <v>196</v>
      </c>
      <c r="B217" s="7" t="inlineStr">
        <is>
          <t>District Updates</t>
        </is>
      </c>
      <c r="C217" s="7" t="inlineStr">
        <is>
          <t>Other Advertiser (Event / Service / Direct-to-Consumer)</t>
        </is>
      </c>
      <c r="D217" s="7" t="inlineStr">
        <is>
          <t>KOPA Mall Pune</t>
        </is>
      </c>
      <c r="E217" s="7" t="inlineStr">
        <is>
          <t>Pune</t>
        </is>
      </c>
      <c r="F217" s="7" t="inlineStr">
        <is>
          <t>LIVE</t>
        </is>
      </c>
      <c r="G217" s="7" t="inlineStr">
        <is>
          <t>19 Aug 2026</t>
        </is>
      </c>
      <c r="H217" s="7" t="n">
        <v>14</v>
      </c>
      <c r="I217" s="7" t="inlineStr">
        <is>
          <t>Fresh Test (&lt;30d)</t>
        </is>
      </c>
      <c r="J217" s="7" t="inlineStr">
        <is>
          <t>Book Now</t>
        </is>
      </c>
      <c r="K217" s="8" t="inlineStr">
        <is>
          <t>Your playlist is great.</t>
        </is>
      </c>
      <c r="L217" s="8" t="inlineStr">
        <is>
          <t>Your playlist is great. Hearing it come alive is better. 🎸 Tickets are live. Get yours. HTTPS://WWW.DISTRICT.IN/BUY-TICKETS If You Love Indie Music, Don’t Miss This.</t>
        </is>
      </c>
      <c r="M217" s="7" t="inlineStr">
        <is>
          <t>https://www.facebook.com/ads/library/?id=1777453873394602</t>
        </is>
      </c>
    </row>
    <row r="218">
      <c r="A218" s="5" t="n">
        <v>197</v>
      </c>
      <c r="B218" s="5" t="inlineStr">
        <is>
          <t>Samsung</t>
        </is>
      </c>
      <c r="C218" s="5" t="inlineStr">
        <is>
          <t>Other Advertiser (Event / Service / Direct-to-Consumer)</t>
        </is>
      </c>
      <c r="D218" s="5" t="inlineStr">
        <is>
          <t>KOPA Mall Pune</t>
        </is>
      </c>
      <c r="E218" s="5" t="inlineStr">
        <is>
          <t>Pune</t>
        </is>
      </c>
      <c r="F218" s="5" t="inlineStr">
        <is>
          <t>LIVE</t>
        </is>
      </c>
      <c r="G218" s="5" t="inlineStr">
        <is>
          <t>19 Aug 2026</t>
        </is>
      </c>
      <c r="H218" s="5" t="n">
        <v>14</v>
      </c>
      <c r="I218" s="5" t="inlineStr">
        <is>
          <t>Fresh Test (&lt;30d)</t>
        </is>
      </c>
      <c r="J218" s="5" t="inlineStr">
        <is>
          <t>Sign Up</t>
        </is>
      </c>
      <c r="K218" s="6" t="inlineStr">
        <is>
          <t>Own the new Galaxy Z Fold8 Ultra and Fold8 starting ₹ 8583*/ mo.</t>
        </is>
      </c>
      <c r="L218" s="6" t="inlineStr">
        <is>
          <t>Own the new Galaxy Z Fold8 Ultra and Fold8 starting ₹ 8583*/ mo. with Galaxy Forever. Get up to 55% Assured Buyback benefits and device protection with Samsung Care+ worth ₹ 32999*. Visit Samsung Experience Store, KOPA Mall, Pune. Samsung Galaxy Foldables Own now with Galaxy Forever Sign Up ​ Active</t>
        </is>
      </c>
      <c r="M218" s="5" t="inlineStr">
        <is>
          <t>https://www.facebook.com/ads/library/?id=38873400998913645</t>
        </is>
      </c>
    </row>
    <row r="219">
      <c r="A219" s="7" t="n">
        <v>198</v>
      </c>
      <c r="B219" s="7" t="inlineStr">
        <is>
          <t>Godrej Properties Hyderabad</t>
        </is>
      </c>
      <c r="C219" s="7" t="inlineStr">
        <is>
          <t>Real Estate Developer (Location-Piggyback)</t>
        </is>
      </c>
      <c r="D219" s="7" t="inlineStr">
        <is>
          <t>Lulu Mall Hyderabad</t>
        </is>
      </c>
      <c r="E219" s="7" t="inlineStr">
        <is>
          <t>Hyderabad</t>
        </is>
      </c>
      <c r="F219" s="7" t="inlineStr">
        <is>
          <t>LIVE</t>
        </is>
      </c>
      <c r="G219" s="7" t="inlineStr">
        <is>
          <t>19 Aug 2026</t>
        </is>
      </c>
      <c r="H219" s="7" t="n">
        <v>14</v>
      </c>
      <c r="I219" s="7" t="inlineStr">
        <is>
          <t>Fresh Test (&lt;30d)</t>
        </is>
      </c>
      <c r="J219" s="7" t="inlineStr">
        <is>
          <t>Get Offer</t>
        </is>
      </c>
      <c r="K219" s="8" t="inlineStr">
        <is>
          <t>The right home, at the right price, doesn’t stay available forever.</t>
        </is>
      </c>
      <c r="L219" s="8" t="inlineStr">
        <is>
          <t>The right home, at the right price, doesn’t stay available forever. Make your move to Godrej Brooklyn Avenue and experience premium Brooklyn-inspired living in the Kukatpally–HITEC Corridor. Buy premium 3 &amp; 4 BHK homes from ₹1.98 Cr.* before prices rise.   ✔ Unlock Exclusive Launch Benefits And Secure Your Preferred Home Today* ✔ Godrej New Launch In  Hyderabad ✔ Bigger Units Available ✔ Expansive 75,000 Sq. Ft.* Clubhouse Inspired By The Brooklyn Museum ✔ 70%* Open, Landscaped And Green Spaces</t>
        </is>
      </c>
      <c r="M219" s="7" t="inlineStr">
        <is>
          <t>https://www.facebook.com/ads/library/?id=1054168563824222</t>
        </is>
      </c>
    </row>
    <row r="220">
      <c r="A220" s="5" t="n">
        <v>199</v>
      </c>
      <c r="B220" s="5" t="inlineStr">
        <is>
          <t>Hyderabad Luxury Properties</t>
        </is>
      </c>
      <c r="C220" s="5" t="inlineStr">
        <is>
          <t>Real Estate Developer (Location-Piggyback)</t>
        </is>
      </c>
      <c r="D220" s="5" t="inlineStr">
        <is>
          <t>Lulu Mall Hyderabad</t>
        </is>
      </c>
      <c r="E220" s="5" t="inlineStr">
        <is>
          <t>Hyderabad</t>
        </is>
      </c>
      <c r="F220" s="5" t="inlineStr">
        <is>
          <t>LIVE</t>
        </is>
      </c>
      <c r="G220" s="5" t="inlineStr">
        <is>
          <t>19 Aug 2026</t>
        </is>
      </c>
      <c r="H220" s="5" t="n">
        <v>14</v>
      </c>
      <c r="I220" s="5" t="inlineStr">
        <is>
          <t>Fresh Test (&lt;30d)</t>
        </is>
      </c>
      <c r="J220" s="5" t="inlineStr">
        <is>
          <t>Learn More</t>
        </is>
      </c>
      <c r="K220" s="6" t="inlineStr">
        <is>
          <t xml:space="preserve">🏙️ ASBL Broadway – Premium 3 &amp; 3.5 BHK Apartments in Financial District, Hyderabad  Experience elevated urban living at </t>
        </is>
      </c>
      <c r="L220" s="6"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M220" s="5" t="inlineStr">
        <is>
          <t>https://www.facebook.com/ads/library/?id=2573688656412625</t>
        </is>
      </c>
    </row>
    <row r="221">
      <c r="A221" s="7" t="n">
        <v>200</v>
      </c>
      <c r="B221" s="7" t="inlineStr">
        <is>
          <t>Godrej Properties Hyderabad</t>
        </is>
      </c>
      <c r="C221" s="7" t="inlineStr">
        <is>
          <t>Real Estate Developer (Location-Piggyback)</t>
        </is>
      </c>
      <c r="D221" s="7" t="inlineStr">
        <is>
          <t>Nexus Hyderabad Mall</t>
        </is>
      </c>
      <c r="E221" s="7" t="inlineStr">
        <is>
          <t>Hyderabad</t>
        </is>
      </c>
      <c r="F221" s="7" t="inlineStr">
        <is>
          <t>LIVE</t>
        </is>
      </c>
      <c r="G221" s="7" t="inlineStr">
        <is>
          <t>19 Aug 2026</t>
        </is>
      </c>
      <c r="H221" s="7" t="n">
        <v>14</v>
      </c>
      <c r="I221" s="7" t="inlineStr">
        <is>
          <t>Fresh Test (&lt;30d)</t>
        </is>
      </c>
      <c r="J221" s="7" t="inlineStr">
        <is>
          <t>Get Offer</t>
        </is>
      </c>
      <c r="K221" s="8" t="inlineStr">
        <is>
          <t>A home that stands apart, at a price worth acting on.</t>
        </is>
      </c>
      <c r="L221" s="8" t="inlineStr">
        <is>
          <t>A home that stands apart, at a price worth acting on. Explore Brooklyn-inspired 3 &amp; 4 BHK residences at Godrej Brooklyn Avenue, located on the Kukatpally–HITEC Corridor. Starting at ₹1.98 Cr.*, make your move before prices rise.  ✔ Avail Exclusive Launch Benefits And Reserve Your Preferred Home Today* ✔ New Godrej Launch In Hyderabad ✔ Bigger Units Available ✔ Majesic 75,000 Sq. Ft.* Clubhouse Inspired By The Brooklyn Museum ✔ 70%* Open, Landscaped And Green Spaces ✔ Serene Swimming Pool  ✔ Mode</t>
        </is>
      </c>
      <c r="M221" s="7" t="inlineStr">
        <is>
          <t>https://www.facebook.com/ads/library/?id=2953128205022265</t>
        </is>
      </c>
    </row>
    <row r="222">
      <c r="A222" s="5" t="n">
        <v>201</v>
      </c>
      <c r="B222" s="5" t="inlineStr">
        <is>
          <t>Godrej Properties Hyderabad</t>
        </is>
      </c>
      <c r="C222" s="5" t="inlineStr">
        <is>
          <t>Real Estate Developer (Location-Piggyback)</t>
        </is>
      </c>
      <c r="D222" s="5" t="inlineStr">
        <is>
          <t>Nexus Hyderabad Mall</t>
        </is>
      </c>
      <c r="E222" s="5" t="inlineStr">
        <is>
          <t>Hyderabad</t>
        </is>
      </c>
      <c r="F222" s="5" t="inlineStr">
        <is>
          <t>LIVE</t>
        </is>
      </c>
      <c r="G222" s="5" t="inlineStr">
        <is>
          <t>19 Aug 2026</t>
        </is>
      </c>
      <c r="H222" s="5" t="n">
        <v>14</v>
      </c>
      <c r="I222" s="5" t="inlineStr">
        <is>
          <t>Fresh Test (&lt;30d)</t>
        </is>
      </c>
      <c r="J222" s="5" t="inlineStr">
        <is>
          <t>Get Offer</t>
        </is>
      </c>
      <c r="K222" s="6" t="inlineStr">
        <is>
          <t>A home that stands apart, at a price worth acting on.</t>
        </is>
      </c>
      <c r="L222" s="6" t="inlineStr">
        <is>
          <t>A home that stands apart, at a price worth acting on. Explore Brooklyn-inspired 3 &amp; 4 BHK residences at Godrej Brooklyn Avenue, located on the Kukatpally–HITEC Corridor. Starting at ₹1.98 Cr.*, make your move before prices rise.  ✔ Avail Exclusive Launch Benefits And Reserve Your Preferred Home Today* ✔ New Godrej Launch In Hyderabad ✔ Bigger Units Available ✔ Majesic 75,000 Sq. Ft.* Clubhouse Inspired By The Brooklyn Museum ✔ 70%* Open, Landscaped And Green Spaces ✔ Serene Swimming Pool  ✔ Mode</t>
        </is>
      </c>
      <c r="M222" s="5" t="inlineStr">
        <is>
          <t>https://www.facebook.com/ads/library/?id=878555465120736</t>
        </is>
      </c>
    </row>
    <row r="223">
      <c r="A223" s="7" t="n">
        <v>202</v>
      </c>
      <c r="B223" s="7" t="inlineStr">
        <is>
          <t>Samsung</t>
        </is>
      </c>
      <c r="C223" s="7" t="inlineStr">
        <is>
          <t>Other Advertiser (Event / Service / Direct-to-Consumer)</t>
        </is>
      </c>
      <c r="D223" s="7" t="inlineStr">
        <is>
          <t>Inorbit Mall Cyberabad</t>
        </is>
      </c>
      <c r="E223" s="7" t="inlineStr">
        <is>
          <t>Hyderabad</t>
        </is>
      </c>
      <c r="F223" s="7" t="inlineStr">
        <is>
          <t>LIVE</t>
        </is>
      </c>
      <c r="G223" s="7" t="inlineStr">
        <is>
          <t>19 Aug 2026</t>
        </is>
      </c>
      <c r="H223" s="7" t="n">
        <v>14</v>
      </c>
      <c r="I223" s="7" t="inlineStr">
        <is>
          <t>Fresh Test (&lt;30d)</t>
        </is>
      </c>
      <c r="J223" s="7" t="inlineStr">
        <is>
          <t>Sign Up</t>
        </is>
      </c>
      <c r="K223" s="8" t="inlineStr">
        <is>
          <t>Own the new Galaxy Z Fold8 Ultra and Fold8 starting ₹ 8583*/ mo.</t>
        </is>
      </c>
      <c r="L223" s="8" t="inlineStr">
        <is>
          <t>Own the new Galaxy Z Fold8 Ultra and Fold8 starting ₹ 8583*/ mo. with Galaxy Forever. Get up to 55% Assured Buyback benefits and device protection with Samsung Care+ worth ₹ 32999*. Visit Samsung Experience Store, Inorbit Mall, Hyderabad. Samsung Galaxy Foldables Own now with Galaxy Forever Sign Up ​ Active</t>
        </is>
      </c>
      <c r="M223" s="7" t="inlineStr">
        <is>
          <t>https://www.facebook.com/ads/library/?id=1569850631487882</t>
        </is>
      </c>
    </row>
    <row r="224">
      <c r="A224" s="5" t="n">
        <v>203</v>
      </c>
      <c r="B224" s="5" t="inlineStr">
        <is>
          <t>Hyderabad Luxury Properties</t>
        </is>
      </c>
      <c r="C224" s="5" t="inlineStr">
        <is>
          <t>Real Estate Developer (Location-Piggyback)</t>
        </is>
      </c>
      <c r="D224" s="5" t="inlineStr">
        <is>
          <t>Inorbit Mall Cyberabad</t>
        </is>
      </c>
      <c r="E224" s="5" t="inlineStr">
        <is>
          <t>Hyderabad</t>
        </is>
      </c>
      <c r="F224" s="5" t="inlineStr">
        <is>
          <t>LIVE</t>
        </is>
      </c>
      <c r="G224" s="5" t="inlineStr">
        <is>
          <t>19 Aug 2026</t>
        </is>
      </c>
      <c r="H224" s="5" t="n">
        <v>14</v>
      </c>
      <c r="I224" s="5" t="inlineStr">
        <is>
          <t>Fresh Test (&lt;30d)</t>
        </is>
      </c>
      <c r="J224" s="5" t="inlineStr">
        <is>
          <t>Learn More</t>
        </is>
      </c>
      <c r="K224" s="6" t="inlineStr">
        <is>
          <t>🏙️ MSN One – Ultra-Luxury 4 BHK Apartments in Neopolis, Kokapet, Hyderabad  Live where sophistication meets skyline view</t>
        </is>
      </c>
      <c r="L224" s="6"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24" s="5" t="inlineStr">
        <is>
          <t>https://www.facebook.com/ads/library/?id=905492635515508</t>
        </is>
      </c>
    </row>
    <row r="225">
      <c r="A225" s="7" t="n">
        <v>204</v>
      </c>
      <c r="B225" s="7" t="inlineStr">
        <is>
          <t>Hyderabad Luxury Properties</t>
        </is>
      </c>
      <c r="C225" s="7" t="inlineStr">
        <is>
          <t>Real Estate Developer (Location-Piggyback)</t>
        </is>
      </c>
      <c r="D225" s="7" t="inlineStr">
        <is>
          <t>Inorbit Mall Cyberabad</t>
        </is>
      </c>
      <c r="E225" s="7" t="inlineStr">
        <is>
          <t>Hyderabad</t>
        </is>
      </c>
      <c r="F225" s="7" t="inlineStr">
        <is>
          <t>LIVE</t>
        </is>
      </c>
      <c r="G225" s="7" t="inlineStr">
        <is>
          <t>19 Aug 2026</t>
        </is>
      </c>
      <c r="H225" s="7" t="n">
        <v>14</v>
      </c>
      <c r="I225" s="7" t="inlineStr">
        <is>
          <t>Fresh Test (&lt;30d)</t>
        </is>
      </c>
      <c r="J225" s="7" t="inlineStr">
        <is>
          <t>Learn More</t>
        </is>
      </c>
      <c r="K225" s="8" t="inlineStr">
        <is>
          <t>🏙️ MSN One – Ultra-Luxury 4 BHK Apartments in Neopolis, Kokapet, Hyderabad  Live where sophistication meets skyline view</t>
        </is>
      </c>
      <c r="L225" s="8"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25" s="7" t="inlineStr">
        <is>
          <t>https://www.facebook.com/ads/library/?id=1622545142549413</t>
        </is>
      </c>
    </row>
    <row r="226">
      <c r="A226" s="5" t="n">
        <v>205</v>
      </c>
      <c r="B226" s="5" t="inlineStr">
        <is>
          <t>Hyderabad Luxury Properties</t>
        </is>
      </c>
      <c r="C226" s="5" t="inlineStr">
        <is>
          <t>Real Estate Developer (Location-Piggyback)</t>
        </is>
      </c>
      <c r="D226" s="5" t="inlineStr">
        <is>
          <t>Inorbit Mall Cyberabad</t>
        </is>
      </c>
      <c r="E226" s="5" t="inlineStr">
        <is>
          <t>Hyderabad</t>
        </is>
      </c>
      <c r="F226" s="5" t="inlineStr">
        <is>
          <t>LIVE</t>
        </is>
      </c>
      <c r="G226" s="5" t="inlineStr">
        <is>
          <t>19 Aug 2026</t>
        </is>
      </c>
      <c r="H226" s="5" t="n">
        <v>14</v>
      </c>
      <c r="I226" s="5" t="inlineStr">
        <is>
          <t>Fresh Test (&lt;30d)</t>
        </is>
      </c>
      <c r="J226" s="5" t="inlineStr">
        <is>
          <t>Learn More</t>
        </is>
      </c>
      <c r="K226" s="6" t="inlineStr">
        <is>
          <t>🏙️ MSN One – Ultra-Luxury 4 BHK Apartments in Neopolis, Kokapet, Hyderabad  Live where sophistication meets skyline view</t>
        </is>
      </c>
      <c r="L226" s="6"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26" s="5" t="inlineStr">
        <is>
          <t>https://www.facebook.com/ads/library/?id=25877397708624337</t>
        </is>
      </c>
    </row>
    <row r="227">
      <c r="A227" s="7" t="n">
        <v>206</v>
      </c>
      <c r="B227" s="7" t="inlineStr">
        <is>
          <t>Hyderabad Luxury Properties</t>
        </is>
      </c>
      <c r="C227" s="7" t="inlineStr">
        <is>
          <t>Real Estate Developer (Location-Piggyback)</t>
        </is>
      </c>
      <c r="D227" s="7" t="inlineStr">
        <is>
          <t>Inorbit Mall Cyberabad</t>
        </is>
      </c>
      <c r="E227" s="7" t="inlineStr">
        <is>
          <t>Hyderabad</t>
        </is>
      </c>
      <c r="F227" s="7" t="inlineStr">
        <is>
          <t>LIVE</t>
        </is>
      </c>
      <c r="G227" s="7" t="inlineStr">
        <is>
          <t>19 Aug 2026</t>
        </is>
      </c>
      <c r="H227" s="7" t="n">
        <v>14</v>
      </c>
      <c r="I227" s="7" t="inlineStr">
        <is>
          <t>Fresh Test (&lt;30d)</t>
        </is>
      </c>
      <c r="J227" s="7" t="inlineStr">
        <is>
          <t>Learn More</t>
        </is>
      </c>
      <c r="K227" s="8" t="inlineStr">
        <is>
          <t>🏙️ MSN One – Ultra-Luxury 4 BHK Apartments in Neopolis, Kokapet, Hyderabad  Live where sophistication meets skyline view</t>
        </is>
      </c>
      <c r="L227" s="8"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27" s="7" t="inlineStr">
        <is>
          <t>https://www.facebook.com/ads/library/?id=1606357911144503</t>
        </is>
      </c>
    </row>
    <row r="228">
      <c r="A228" s="5" t="n">
        <v>207</v>
      </c>
      <c r="B228" s="5" t="inlineStr">
        <is>
          <t>Hyderabad Luxury Properties</t>
        </is>
      </c>
      <c r="C228" s="5" t="inlineStr">
        <is>
          <t>Real Estate Developer (Location-Piggyback)</t>
        </is>
      </c>
      <c r="D228" s="5" t="inlineStr">
        <is>
          <t>Inorbit Mall Cyberabad</t>
        </is>
      </c>
      <c r="E228" s="5" t="inlineStr">
        <is>
          <t>Hyderabad</t>
        </is>
      </c>
      <c r="F228" s="5" t="inlineStr">
        <is>
          <t>LIVE</t>
        </is>
      </c>
      <c r="G228" s="5" t="inlineStr">
        <is>
          <t>19 Aug 2026</t>
        </is>
      </c>
      <c r="H228" s="5" t="n">
        <v>14</v>
      </c>
      <c r="I228" s="5" t="inlineStr">
        <is>
          <t>Fresh Test (&lt;30d)</t>
        </is>
      </c>
      <c r="J228" s="5" t="inlineStr">
        <is>
          <t>Learn More</t>
        </is>
      </c>
      <c r="K228" s="6" t="inlineStr">
        <is>
          <t>🏙️ MSN One – Ultra-Luxury 4 BHK Apartments in Neopolis, Kokapet, Hyderabad  Live where sophistication meets skyline view</t>
        </is>
      </c>
      <c r="L228" s="6"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28" s="5" t="inlineStr">
        <is>
          <t>https://www.facebook.com/ads/library/?id=1034579616116295</t>
        </is>
      </c>
    </row>
    <row r="229">
      <c r="A229" s="7" t="n">
        <v>208</v>
      </c>
      <c r="B229" s="7" t="inlineStr">
        <is>
          <t>Hyderabad Luxury Properties</t>
        </is>
      </c>
      <c r="C229" s="7" t="inlineStr">
        <is>
          <t>Real Estate Developer (Location-Piggyback)</t>
        </is>
      </c>
      <c r="D229" s="7" t="inlineStr">
        <is>
          <t>Inorbit Mall Cyberabad</t>
        </is>
      </c>
      <c r="E229" s="7" t="inlineStr">
        <is>
          <t>Hyderabad</t>
        </is>
      </c>
      <c r="F229" s="7" t="inlineStr">
        <is>
          <t>LIVE</t>
        </is>
      </c>
      <c r="G229" s="7" t="inlineStr">
        <is>
          <t>19 Aug 2026</t>
        </is>
      </c>
      <c r="H229" s="7" t="n">
        <v>14</v>
      </c>
      <c r="I229" s="7" t="inlineStr">
        <is>
          <t>Fresh Test (&lt;30d)</t>
        </is>
      </c>
      <c r="J229" s="7" t="inlineStr">
        <is>
          <t>Learn More</t>
        </is>
      </c>
      <c r="K229" s="8" t="inlineStr">
        <is>
          <t>🏙️ MSN One – Ultra-Luxury 4 BHK Apartments in Neopolis, Kokapet, Hyderabad  Live where sophistication meets skyline view</t>
        </is>
      </c>
      <c r="L229" s="8"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29" s="7" t="inlineStr">
        <is>
          <t>https://www.facebook.com/ads/library/?id=1384361543821730</t>
        </is>
      </c>
    </row>
    <row r="230">
      <c r="A230" s="5" t="n">
        <v>209</v>
      </c>
      <c r="B230" s="5" t="inlineStr">
        <is>
          <t>Hyderabad Luxury Properties</t>
        </is>
      </c>
      <c r="C230" s="5" t="inlineStr">
        <is>
          <t>Real Estate Developer (Location-Piggyback)</t>
        </is>
      </c>
      <c r="D230" s="5" t="inlineStr">
        <is>
          <t>Inorbit Mall Cyberabad</t>
        </is>
      </c>
      <c r="E230" s="5" t="inlineStr">
        <is>
          <t>Hyderabad</t>
        </is>
      </c>
      <c r="F230" s="5" t="inlineStr">
        <is>
          <t>LIVE</t>
        </is>
      </c>
      <c r="G230" s="5" t="inlineStr">
        <is>
          <t>19 Aug 2026</t>
        </is>
      </c>
      <c r="H230" s="5" t="n">
        <v>14</v>
      </c>
      <c r="I230" s="5" t="inlineStr">
        <is>
          <t>Fresh Test (&lt;30d)</t>
        </is>
      </c>
      <c r="J230" s="5" t="inlineStr">
        <is>
          <t>Learn More</t>
        </is>
      </c>
      <c r="K230" s="6" t="inlineStr">
        <is>
          <t>🏙️ MSN One – Ultra-Luxury 4 BHK Apartments in Neopolis, Kokapet, Hyderabad  Live where sophistication meets skyline view</t>
        </is>
      </c>
      <c r="L230" s="6"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30" s="5" t="inlineStr">
        <is>
          <t>https://www.facebook.com/ads/library/?id=2058345771719482</t>
        </is>
      </c>
    </row>
    <row r="231">
      <c r="A231" s="7" t="n">
        <v>210</v>
      </c>
      <c r="B231" s="7" t="inlineStr">
        <is>
          <t>Hyderabad Luxury Properties</t>
        </is>
      </c>
      <c r="C231" s="7" t="inlineStr">
        <is>
          <t>Real Estate Developer (Location-Piggyback)</t>
        </is>
      </c>
      <c r="D231" s="7" t="inlineStr">
        <is>
          <t>Inorbit Mall Cyberabad</t>
        </is>
      </c>
      <c r="E231" s="7" t="inlineStr">
        <is>
          <t>Hyderabad</t>
        </is>
      </c>
      <c r="F231" s="7" t="inlineStr">
        <is>
          <t>LIVE</t>
        </is>
      </c>
      <c r="G231" s="7" t="inlineStr">
        <is>
          <t>19 Aug 2026</t>
        </is>
      </c>
      <c r="H231" s="7" t="n">
        <v>14</v>
      </c>
      <c r="I231" s="7" t="inlineStr">
        <is>
          <t>Fresh Test (&lt;30d)</t>
        </is>
      </c>
      <c r="J231" s="7" t="inlineStr">
        <is>
          <t>Learn More</t>
        </is>
      </c>
      <c r="K231" s="8" t="inlineStr">
        <is>
          <t>🏙️ MSN One – Ultra-Luxury 4 BHK Apartments in Neopolis, Kokapet, Hyderabad  Live where sophistication meets skyline view</t>
        </is>
      </c>
      <c r="L231" s="8"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31" s="7" t="inlineStr">
        <is>
          <t>https://www.facebook.com/ads/library/?id=1426464656000355</t>
        </is>
      </c>
    </row>
    <row r="232">
      <c r="A232" s="5" t="n">
        <v>211</v>
      </c>
      <c r="B232" s="5" t="inlineStr">
        <is>
          <t>Hyderabad Luxury Properties</t>
        </is>
      </c>
      <c r="C232" s="5" t="inlineStr">
        <is>
          <t>Real Estate Developer (Location-Piggyback)</t>
        </is>
      </c>
      <c r="D232" s="5" t="inlineStr">
        <is>
          <t>Inorbit Mall Cyberabad</t>
        </is>
      </c>
      <c r="E232" s="5" t="inlineStr">
        <is>
          <t>Hyderabad</t>
        </is>
      </c>
      <c r="F232" s="5" t="inlineStr">
        <is>
          <t>LIVE</t>
        </is>
      </c>
      <c r="G232" s="5" t="inlineStr">
        <is>
          <t>19 Aug 2026</t>
        </is>
      </c>
      <c r="H232" s="5" t="n">
        <v>14</v>
      </c>
      <c r="I232" s="5" t="inlineStr">
        <is>
          <t>Fresh Test (&lt;30d)</t>
        </is>
      </c>
      <c r="J232" s="5" t="inlineStr">
        <is>
          <t>Learn More</t>
        </is>
      </c>
      <c r="K232" s="6" t="inlineStr">
        <is>
          <t>🏙️ MSN One – Ultra-Luxury 4 BHK Apartments in Neopolis, Kokapet, Hyderabad  Live where sophistication meets skyline view</t>
        </is>
      </c>
      <c r="L232" s="6" t="inlineStr">
        <is>
          <t>🏙️ MSN One – Ultra-Luxury 4 BHK Apartments in Neopolis, Kokapet, Hyderabad  Live where sophistication meets skyline views. MSN One is a signature luxury residential development by MSN Realty (a venture of the MSN Group, renowned in the pharma sector), bringing spacious 4 BHK homes with futuristic automation to one of Hyderabad's fastest-growing micro-markets.  📍 Location: Neopolis, Kokapet, Hyderabad 🚦 Status: New Launch  🏗️ Project Highlights: 🏙️ Signature luxury development by MSN Realty</t>
        </is>
      </c>
      <c r="M232" s="5" t="inlineStr">
        <is>
          <t>https://www.facebook.com/ads/library/?id=1596195725414428</t>
        </is>
      </c>
    </row>
    <row r="233">
      <c r="A233" s="7" t="n">
        <v>212</v>
      </c>
      <c r="B233" s="7" t="inlineStr">
        <is>
          <t>Grade A Pune Developer</t>
        </is>
      </c>
      <c r="C233" s="7" t="inlineStr">
        <is>
          <t>Real Estate Developer (Location-Piggyback)</t>
        </is>
      </c>
      <c r="D233" s="7" t="inlineStr">
        <is>
          <t>Phoenix Marketcity Pune</t>
        </is>
      </c>
      <c r="E233" s="7" t="inlineStr">
        <is>
          <t>Pune</t>
        </is>
      </c>
      <c r="F233" s="7" t="inlineStr">
        <is>
          <t>LIVE</t>
        </is>
      </c>
      <c r="G233" s="7" t="inlineStr">
        <is>
          <t>20 Aug 2026</t>
        </is>
      </c>
      <c r="H233" s="7" t="n">
        <v>13</v>
      </c>
      <c r="I233" s="7" t="inlineStr">
        <is>
          <t>Fresh Test (&lt;30d)</t>
        </is>
      </c>
      <c r="J233" s="7" t="inlineStr">
        <is>
          <t>Learn More</t>
        </is>
      </c>
      <c r="K233" s="8" t="inlineStr">
        <is>
          <t>✨ LOOKING FOR A PREMIUM HOME IN PUNE’S GROWTH CORRIDOR?</t>
        </is>
      </c>
      <c r="L233" s="8" t="inlineStr">
        <is>
          <t>✨ LOOKING FOR A PREMIUM HOME IN PUNE’S GROWTH CORRIDOR?  Discover Godrej Ivara, Kharadi — a thoughtfully planned luxury development designed around expansive greens, premium amenities and modern urban living.  🏡 Premium 2, 3 &amp; 4 BHK Residences 🌳 6 Acres of Landscaped Greens 🏢 1,00,000 Sq.ft. Luxury Clubhouse 💪 10,000 Sq.ft. Fully Equipped Gym 🏊 Lagoon-Style Swimming Pool 💼 Premium Business Centre  💰 2 BHK Starting ₹1.29 Cr Onwards* 📆 Instant Spot Discount | Valid Till 28th August 💳 PPM</t>
        </is>
      </c>
      <c r="M233" s="7" t="inlineStr">
        <is>
          <t>https://www.facebook.com/ads/library/?id=1587378363064077</t>
        </is>
      </c>
    </row>
    <row r="234">
      <c r="A234" s="5" t="n">
        <v>213</v>
      </c>
      <c r="B234" s="5" t="inlineStr">
        <is>
          <t>Housiey</t>
        </is>
      </c>
      <c r="C234" s="5" t="inlineStr">
        <is>
          <t>Real Estate Developer (Location-Piggyback)</t>
        </is>
      </c>
      <c r="D234" s="5" t="inlineStr">
        <is>
          <t>Amanora Mall Pune</t>
        </is>
      </c>
      <c r="E234" s="5" t="inlineStr">
        <is>
          <t>Pune</t>
        </is>
      </c>
      <c r="F234" s="5" t="inlineStr">
        <is>
          <t>LIVE</t>
        </is>
      </c>
      <c r="G234" s="5" t="inlineStr">
        <is>
          <t>20 Aug 2026</t>
        </is>
      </c>
      <c r="H234" s="5" t="n">
        <v>13</v>
      </c>
      <c r="I234" s="5" t="inlineStr">
        <is>
          <t>Fresh Test (&lt;30d)</t>
        </is>
      </c>
      <c r="J234" s="5" t="inlineStr">
        <is>
          <t>Learn More</t>
        </is>
      </c>
      <c r="K234" s="6" t="inlineStr">
        <is>
          <t>Shapoorji Pallonji New Launch "Joyville Celestia", on Pune-Solapur Hwy, Hadapsar ✅ 9Acres - 7Towers - 20Floors ✅ 2/3 BHK</t>
        </is>
      </c>
      <c r="L234" s="6" t="inlineStr">
        <is>
          <t>Shapoorji Pallonji New Launch "Joyville Celestia", on Pune-Solapur Hwy, Hadapsar ✅ 9Acres - 7Towers - 20Floors ✅ 2/3 BHK - ₹67.99 Lacs (All Inc) ✅ Mall-5min | Pune Stn-10min ✅ 50+ Ultra Luxurious Amenities ✅ Booking Window Open Now ✅ Sample Flat Ready at site ✅ Free Pickup &amp; Drop Available ✅ Housiey Rera No. A51900001761 ✅ Project- P52100053159|P52100053165 FB.ME Download E-Brochure Free Pickup &amp; Drop Available Download ​ Active</t>
        </is>
      </c>
      <c r="M234" s="5" t="inlineStr">
        <is>
          <t>https://www.facebook.com/ads/library/?id=932700219201731</t>
        </is>
      </c>
    </row>
    <row r="235">
      <c r="A235" s="7" t="n">
        <v>214</v>
      </c>
      <c r="B235" s="7" t="inlineStr">
        <is>
          <t>Onya Diamonds</t>
        </is>
      </c>
      <c r="C235" s="7" t="inlineStr">
        <is>
          <t>Other Advertiser (Event / Service / Direct-to-Consumer)</t>
        </is>
      </c>
      <c r="D235" s="7" t="inlineStr">
        <is>
          <t>Amanora Mall Pune</t>
        </is>
      </c>
      <c r="E235" s="7" t="inlineStr">
        <is>
          <t>Pune</t>
        </is>
      </c>
      <c r="F235" s="7" t="inlineStr">
        <is>
          <t>LIVE</t>
        </is>
      </c>
      <c r="G235" s="7" t="inlineStr">
        <is>
          <t>20 Aug 2026</t>
        </is>
      </c>
      <c r="H235" s="7" t="n">
        <v>13</v>
      </c>
      <c r="I235" s="7" t="inlineStr">
        <is>
          <t>Fresh Test (&lt;30d)</t>
        </is>
      </c>
      <c r="J235" s="7" t="inlineStr">
        <is>
          <t>Learn More</t>
        </is>
      </c>
      <c r="K235" s="8" t="inlineStr">
        <is>
          <t>Luxury, but make it contemporary.</t>
        </is>
      </c>
      <c r="L235" s="8" t="inlineStr">
        <is>
          <t>Luxury, but make it contemporary. ✨💎  I recently discovered ONYA at Amanora Mall, Pune and honestly, their jewellery is all about refinement over excess.  From stunning 14K &amp; 18K hallmarked gold and certified VVS-EF lab-grown diamonds to elegant cuts, coloured diamonds and custom designs, there’s something beautifully personal about every piece. ✨  And I love that luxury here comes with confidence, CAD-to-delivery updates, 1-year free repairs, lifetime polishing, 100% exchange and 80% buyback,</t>
        </is>
      </c>
      <c r="M235" s="7" t="inlineStr">
        <is>
          <t>https://www.facebook.com/ads/library/?id=1091103940267585</t>
        </is>
      </c>
    </row>
    <row r="236">
      <c r="A236" s="5" t="n">
        <v>215</v>
      </c>
      <c r="B236" s="5" t="inlineStr">
        <is>
          <t>Godrej Kukatpally, New Launch, Hyderabad</t>
        </is>
      </c>
      <c r="C236" s="5" t="inlineStr">
        <is>
          <t>Real Estate Developer (Location-Piggyback)</t>
        </is>
      </c>
      <c r="D236" s="5" t="inlineStr">
        <is>
          <t>Nexus Hyderabad Mall</t>
        </is>
      </c>
      <c r="E236" s="5" t="inlineStr">
        <is>
          <t>Hyderabad</t>
        </is>
      </c>
      <c r="F236" s="5" t="inlineStr">
        <is>
          <t>LIVE</t>
        </is>
      </c>
      <c r="G236" s="5" t="inlineStr">
        <is>
          <t>20 Aug 2026</t>
        </is>
      </c>
      <c r="H236" s="5" t="n">
        <v>13</v>
      </c>
      <c r="I236" s="5" t="inlineStr">
        <is>
          <t>Fresh Test (&lt;30d)</t>
        </is>
      </c>
      <c r="J236" s="5" t="inlineStr">
        <is>
          <t>Get Offer</t>
        </is>
      </c>
      <c r="K236" s="6" t="inlineStr">
        <is>
          <t>Stay close to the action, far from the exhaustion.</t>
        </is>
      </c>
      <c r="L236" s="6" t="inlineStr">
        <is>
          <t>Stay close to the action, far from the exhaustion. Make your move to Godrej Brooklyn Avenue with 3 BHK Luxe homes of 1,587 sq. ft.* starting from ₹1.98 Cr. and 4 BHK Grande homes of 3,213 sq. ft.* starting from ₹4.01 Cr.*  ✔ Exclusive Launch Offers | Reserve Your Home Today* ✔ New Launch In Hyderabad ✔ Bigger Units Available ✔ Just 3 Mins* From NH-65 ✔ 2 Landmark G+45 Towers Offering Enhanced Privacy ✔ Excellent Connectivity To NH-65 &amp; KPHB Metro ✔ 70%* Open &amp; Landscaped Spaces Across 7.8 Acres*</t>
        </is>
      </c>
      <c r="M236" s="5" t="inlineStr">
        <is>
          <t>https://www.facebook.com/ads/library/?id=1379893281000657</t>
        </is>
      </c>
    </row>
    <row r="237">
      <c r="A237" s="7" t="n">
        <v>216</v>
      </c>
      <c r="B237" s="7" t="inlineStr">
        <is>
          <t>Godrej Kukatpally, New Launch, Hyderabad</t>
        </is>
      </c>
      <c r="C237" s="7" t="inlineStr">
        <is>
          <t>Real Estate Developer (Location-Piggyback)</t>
        </is>
      </c>
      <c r="D237" s="7" t="inlineStr">
        <is>
          <t>Nexus Hyderabad Mall</t>
        </is>
      </c>
      <c r="E237" s="7" t="inlineStr">
        <is>
          <t>Hyderabad</t>
        </is>
      </c>
      <c r="F237" s="7" t="inlineStr">
        <is>
          <t>LIVE</t>
        </is>
      </c>
      <c r="G237" s="7" t="inlineStr">
        <is>
          <t>20 Aug 2026</t>
        </is>
      </c>
      <c r="H237" s="7" t="n">
        <v>13</v>
      </c>
      <c r="I237" s="7" t="inlineStr">
        <is>
          <t>Fresh Test (&lt;30d)</t>
        </is>
      </c>
      <c r="J237" s="7" t="inlineStr">
        <is>
          <t>Get Offer</t>
        </is>
      </c>
      <c r="K237" s="8" t="inlineStr">
        <is>
          <t>Make every square foot feel considered.</t>
        </is>
      </c>
      <c r="L237" s="8" t="inlineStr">
        <is>
          <t>Make every square foot feel considered. Discover spacious living at Godrej Brooklyn Avenue with 3 BHK Luxe homes of 1,587 sq. ft*. from ₹1.98 Cr.* and 4 BHK Grande homes of 3,213 sq. ft.* from ₹4.01 Cr.*.  ✓ Exclusive Launch Offers And Reserve Your Home Today* ✓ New Launch In Hyderabad ✓ Spacious 3 &amp; 4 BHK Residences ✓ Vastu-Compliant Home Layouts ✓ Large Balconies To Extend Everyday Living ✓ Corner Units For Added Light &amp; Ventilation ✓ Thoughtfully Planned Living Spaces ✓ Premium Specifications</t>
        </is>
      </c>
      <c r="M237" s="7" t="inlineStr">
        <is>
          <t>https://www.facebook.com/ads/library/?id=3636022803218827</t>
        </is>
      </c>
    </row>
    <row r="238">
      <c r="A238" s="5" t="n">
        <v>217</v>
      </c>
      <c r="B238" s="5" t="inlineStr">
        <is>
          <t>Godrej Kukatpally, New Launch, Hyderabad</t>
        </is>
      </c>
      <c r="C238" s="5" t="inlineStr">
        <is>
          <t>Real Estate Developer (Location-Piggyback)</t>
        </is>
      </c>
      <c r="D238" s="5" t="inlineStr">
        <is>
          <t>Nexus Hyderabad Mall</t>
        </is>
      </c>
      <c r="E238" s="5" t="inlineStr">
        <is>
          <t>Hyderabad</t>
        </is>
      </c>
      <c r="F238" s="5" t="inlineStr">
        <is>
          <t>LIVE</t>
        </is>
      </c>
      <c r="G238" s="5" t="inlineStr">
        <is>
          <t>20 Aug 2026</t>
        </is>
      </c>
      <c r="H238" s="5" t="n">
        <v>13</v>
      </c>
      <c r="I238" s="5" t="inlineStr">
        <is>
          <t>Fresh Test (&lt;30d)</t>
        </is>
      </c>
      <c r="J238" s="5" t="inlineStr">
        <is>
          <t>Get Offer</t>
        </is>
      </c>
      <c r="K238" s="6" t="inlineStr">
        <is>
          <t>Make every square foot feel considered.</t>
        </is>
      </c>
      <c r="L238" s="6" t="inlineStr">
        <is>
          <t>Make every square foot feel considered. Discover spacious living at Godrej Brooklyn Avenue with 3 BHK Luxe homes of 1,587 sq. ft*. from ₹1.98 Cr.* and 4 BHK Grande homes of 3,213 sq. ft.* from ₹4.01 Cr.*.  ✓ Exclusive Launch Offers And Reserve Your Home Today* ✓ New Launch In Hyderabad ✓ Spacious 3 &amp; 4 BHK Residences ✓ Vastu-Compliant Home Layouts ✓ Large Balconies To Extend Everyday Living ✓ Corner Units For Added Light &amp; Ventilation ✓ Thoughtfully Planned Living Spaces ✓ Premium Specifications</t>
        </is>
      </c>
      <c r="M238" s="5" t="inlineStr">
        <is>
          <t>https://www.facebook.com/ads/library/?id=1004571159319314</t>
        </is>
      </c>
    </row>
    <row r="239">
      <c r="A239" s="7" t="n">
        <v>218</v>
      </c>
      <c r="B239" s="7" t="inlineStr">
        <is>
          <t>Godrej Kukatpally, New Launch, Hyderabad</t>
        </is>
      </c>
      <c r="C239" s="7" t="inlineStr">
        <is>
          <t>Real Estate Developer (Location-Piggyback)</t>
        </is>
      </c>
      <c r="D239" s="7" t="inlineStr">
        <is>
          <t>Nexus Hyderabad Mall</t>
        </is>
      </c>
      <c r="E239" s="7" t="inlineStr">
        <is>
          <t>Hyderabad</t>
        </is>
      </c>
      <c r="F239" s="7" t="inlineStr">
        <is>
          <t>off</t>
        </is>
      </c>
      <c r="G239" s="7" t="inlineStr">
        <is>
          <t>20 Aug 2026</t>
        </is>
      </c>
      <c r="H239" s="7" t="n">
        <v>13</v>
      </c>
      <c r="I239" s="7" t="inlineStr">
        <is>
          <t>Fresh Test (&lt;30d)</t>
        </is>
      </c>
      <c r="J239" s="7" t="inlineStr">
        <is>
          <t>Get Offer</t>
        </is>
      </c>
      <c r="K239" s="8" t="inlineStr">
        <is>
          <t>Stay close to the action, far from the exhaustion.</t>
        </is>
      </c>
      <c r="L239" s="8" t="inlineStr">
        <is>
          <t>Stay close to the action, far from the exhaustion. Make your move to Godrej Brooklyn Avenue with 3 BHK Luxe homes of 1,587 sq. ft.* starting from ₹1.98 Cr. and 4 BHK Grande homes of 3,213 sq. ft.* starting from ₹4.01 Cr.*  ✔ Exclusive Launch Offers | Reserve Your Home Today* ✔ New Launch In Hyderabad ✔ Bigger Units Available ✔ Just 3 Mins* From NH-65 ✔ 2 Landmark G+45 Towers Offering Enhanced Privacy ✔ Excellent Connectivity To NH-65 &amp; KPHB Metro ✔ 70%* Open &amp; Landscaped Spaces Across 7.8 Acres*</t>
        </is>
      </c>
      <c r="M239" s="7" t="inlineStr">
        <is>
          <t>https://www.facebook.com/ads/library/?id=1798331204948351</t>
        </is>
      </c>
    </row>
    <row r="240">
      <c r="A240" s="5" t="n">
        <v>219</v>
      </c>
      <c r="B240" s="5" t="inlineStr">
        <is>
          <t>New Launch In East Pune</t>
        </is>
      </c>
      <c r="C240" s="5" t="inlineStr">
        <is>
          <t>Real Estate Developer (Location-Piggyback)</t>
        </is>
      </c>
      <c r="D240" s="5" t="inlineStr">
        <is>
          <t>Phoenix Marketcity Pune</t>
        </is>
      </c>
      <c r="E240" s="5" t="inlineStr">
        <is>
          <t>Pune</t>
        </is>
      </c>
      <c r="F240" s="5" t="inlineStr">
        <is>
          <t>LIVE</t>
        </is>
      </c>
      <c r="G240" s="5" t="inlineStr">
        <is>
          <t>21 Aug 2026</t>
        </is>
      </c>
      <c r="H240" s="5" t="n">
        <v>12</v>
      </c>
      <c r="I240" s="5" t="inlineStr">
        <is>
          <t>Fresh Test (&lt;30d)</t>
        </is>
      </c>
      <c r="J240" s="5" t="inlineStr">
        <is>
          <t>Learn More</t>
        </is>
      </c>
      <c r="K240" s="6" t="inlineStr">
        <is>
          <t xml:space="preserve">🛍️ 𝐊𝐡𝐚𝐫𝐚𝐝𝐢’𝐬 𝐌𝐨𝐬𝐭 𝐀𝐰𝐚𝐢𝐭𝐞𝐝 𝐋𝐮𝐱𝐮𝐫𝐲 𝐋𝐚𝐮𝐧𝐜𝐡 🛍️  📍 Prime Kharadi Location </t>
        </is>
      </c>
      <c r="L240" s="6" t="inlineStr">
        <is>
          <t>🛍️ 𝐊𝐡𝐚𝐫𝐚𝐝𝐢’𝐬 𝐌𝐨𝐬𝐭 𝐀𝐰𝐚𝐢𝐭𝐞𝐝 𝐋𝐮𝐱𝐮𝐫𝐲 𝐋𝐚𝐮𝐧𝐜𝐡 🛍️  📍 Prime Kharadi Location | Just 2 Mins from EON IT Park  ✨3 , 3.5 &amp; 4 BHK 1.20 Cr Onwards  🌳 Approx. 12.5-Acre Integrated Township 🏙️ Iconic High-Rise Residences 🎯 Exclusive ChildCentric® Living Concept 🌊 Wave Pool &amp; Exciting Water Experiences 🏎️ Dedicated Go-Kart Racing Track 🏋️ Premium Sports &amp; Fitness Zones 🎳 Bowling Alley &amp; Luxury Clubhouse 🌿 Expansive Open &amp; Green Spaces 🚗 Seamless Connectivity to Nagar R</t>
        </is>
      </c>
      <c r="M240" s="5" t="inlineStr">
        <is>
          <t>https://www.facebook.com/ads/library/?id=1621957049551681</t>
        </is>
      </c>
    </row>
    <row r="241">
      <c r="A241" s="7" t="n">
        <v>220</v>
      </c>
      <c r="B241" s="7" t="inlineStr">
        <is>
          <t>Wonderchef</t>
        </is>
      </c>
      <c r="C241" s="7" t="inlineStr">
        <is>
          <t>Tenant / Retail Brand (Co-Op Candidate)</t>
        </is>
      </c>
      <c r="D241" s="7" t="inlineStr">
        <is>
          <t>The Pavillion Pune</t>
        </is>
      </c>
      <c r="E241" s="7" t="inlineStr">
        <is>
          <t>Pune</t>
        </is>
      </c>
      <c r="F241" s="7" t="inlineStr">
        <is>
          <t>LIVE</t>
        </is>
      </c>
      <c r="G241" s="7" t="inlineStr">
        <is>
          <t>21 Aug 2026</t>
        </is>
      </c>
      <c r="H241" s="7" t="n">
        <v>12</v>
      </c>
      <c r="I241" s="7" t="inlineStr">
        <is>
          <t>Fresh Test (&lt;30d)</t>
        </is>
      </c>
      <c r="J241" s="7" t="inlineStr">
        <is>
          <t>Learn More</t>
        </is>
      </c>
      <c r="K241" s="8" t="inlineStr">
        <is>
          <t>🎉 Wonderchef now in Pavillion Mall pune!</t>
        </is>
      </c>
      <c r="L241" s="8" t="inlineStr">
        <is>
          <t>🎉 Wonderchef now in Pavillion Mall pune! Visit our new Exclusive Brand Outlet and grab unmissable discounts on mixers, cookware, and kitchen appliances. Cook smart. Cook stylish. Only with Wonderchef. 🍳 FB.ME Raksha Bandhan Sale is Live! See Details   FB.ME Lucknow, Wonderchef is here! See Details   FB.ME Explore the range of Cookware &amp; appliances you’ll love See Details   FB.ME Exclusive launch deals await you See Details   FB.ME Designed by Chef Sanjeev Kapoor See Details   FB.ME Visit now &amp;</t>
        </is>
      </c>
      <c r="M241" s="7" t="inlineStr">
        <is>
          <t>https://www.facebook.com/ads/library/?id=1239955304911466</t>
        </is>
      </c>
    </row>
    <row r="242">
      <c r="A242" s="5" t="n">
        <v>221</v>
      </c>
      <c r="B242" s="5" t="inlineStr">
        <is>
          <t>Wonderchef</t>
        </is>
      </c>
      <c r="C242" s="5" t="inlineStr">
        <is>
          <t>Tenant / Retail Brand (Co-Op Candidate)</t>
        </is>
      </c>
      <c r="D242" s="5" t="inlineStr">
        <is>
          <t>The Pavillion Pune</t>
        </is>
      </c>
      <c r="E242" s="5" t="inlineStr">
        <is>
          <t>Pune</t>
        </is>
      </c>
      <c r="F242" s="5" t="inlineStr">
        <is>
          <t>LIVE</t>
        </is>
      </c>
      <c r="G242" s="5" t="inlineStr">
        <is>
          <t>21 Aug 2026</t>
        </is>
      </c>
      <c r="H242" s="5" t="n">
        <v>12</v>
      </c>
      <c r="I242" s="5" t="inlineStr">
        <is>
          <t>Fresh Test (&lt;30d)</t>
        </is>
      </c>
      <c r="J242" s="5" t="inlineStr">
        <is>
          <t>Learn More</t>
        </is>
      </c>
      <c r="K242" s="6" t="inlineStr">
        <is>
          <t>🎉 Wonderchef now in Pavillion Mall pune!</t>
        </is>
      </c>
      <c r="L242" s="6" t="inlineStr">
        <is>
          <t>🎉 Wonderchef now in Pavillion Mall pune! Visit our new Exclusive Brand Outlet and grab unmissable discounts on mixers, cookware, and kitchen appliances. Cook smart. Cook stylish. Only with Wonderchef. 🍳 FB.ME Raksha Bandhan Sale is Live! See Details   FB.ME Pune, Wonderchef is here! See Details   FB.ME Explore the range of Cookware &amp; appliances you’ll love See Details   FB.ME Exclusive launch deals await you See Details   FB.ME Designed by Chef Sanjeev Kapoor See Details   FB.ME Visit now &amp; br</t>
        </is>
      </c>
      <c r="M242" s="5" t="inlineStr">
        <is>
          <t>https://www.facebook.com/ads/library/?id=1375108584768063</t>
        </is>
      </c>
    </row>
    <row r="243">
      <c r="A243" s="7" t="n">
        <v>222</v>
      </c>
      <c r="B243" s="7" t="inlineStr">
        <is>
          <t>NoBroker.com</t>
        </is>
      </c>
      <c r="C243" s="7" t="inlineStr">
        <is>
          <t>Real Estate Developer (Location-Piggyback)</t>
        </is>
      </c>
      <c r="D243" s="7" t="inlineStr">
        <is>
          <t>Seasons Mall Pune</t>
        </is>
      </c>
      <c r="E243" s="7" t="inlineStr">
        <is>
          <t>Pune</t>
        </is>
      </c>
      <c r="F243" s="7" t="inlineStr">
        <is>
          <t>LIVE</t>
        </is>
      </c>
      <c r="G243" s="7" t="inlineStr">
        <is>
          <t>21 Aug 2026</t>
        </is>
      </c>
      <c r="H243" s="7" t="n">
        <v>12</v>
      </c>
      <c r="I243" s="7" t="inlineStr">
        <is>
          <t>Fresh Test (&lt;30d)</t>
        </is>
      </c>
      <c r="J243" s="7" t="inlineStr">
        <is>
          <t>Learn More</t>
        </is>
      </c>
      <c r="K243" s="8" t="inlineStr">
        <is>
          <t xml:space="preserve">1 BHK House for Rent  In Mundwafor₹15,000 PLAY.GOOGLE.COM 1 BHK House for Rent In Mundwafor₹15,000 1 BHK House for Rent </t>
        </is>
      </c>
      <c r="L243" s="8" t="inlineStr">
        <is>
          <t>1 BHK House for Rent  In Mundwafor₹15,000 PLAY.GOOGLE.COM 1 BHK House for Rent In Mundwafor₹15,000 1 BHK House for Rent In MundwaforThis spacious 1 BHK flat for rent in Mundwa for 15,000 is the perfect choice for families &amp; bachelors This East facing 650 sqft. home comes with a convenient space for parking of car. When you need garden, all you have to do is step out of the door as the apartment complex has what you are looking for. You are viewing the right home if you would prefer a house with</t>
        </is>
      </c>
      <c r="M243" s="7" t="inlineStr">
        <is>
          <t>https://www.facebook.com/ads/library/?id=1375641780897720</t>
        </is>
      </c>
    </row>
    <row r="244">
      <c r="A244" s="5" t="n">
        <v>223</v>
      </c>
      <c r="B244" s="5" t="inlineStr">
        <is>
          <t>Pune Homes - New launch</t>
        </is>
      </c>
      <c r="C244" s="5" t="inlineStr">
        <is>
          <t>Real Estate Developer (Location-Piggyback)</t>
        </is>
      </c>
      <c r="D244" s="5" t="inlineStr">
        <is>
          <t>Seasons Mall Pune</t>
        </is>
      </c>
      <c r="E244" s="5" t="inlineStr">
        <is>
          <t>Pune</t>
        </is>
      </c>
      <c r="F244" s="5" t="inlineStr">
        <is>
          <t>LIVE</t>
        </is>
      </c>
      <c r="G244" s="5" t="inlineStr">
        <is>
          <t>21 Aug 2026</t>
        </is>
      </c>
      <c r="H244" s="5" t="n">
        <v>12</v>
      </c>
      <c r="I244" s="5" t="inlineStr">
        <is>
          <t>Fresh Test (&lt;30d)</t>
        </is>
      </c>
      <c r="J244" s="5" t="inlineStr">
        <is>
          <t>Learn More</t>
        </is>
      </c>
      <c r="K244" s="6" t="inlineStr">
        <is>
          <t>Luxury Living in Hadapsar Starts at Just ₹72.99 Lac* ✨  Your dream home is now within reach!</t>
        </is>
      </c>
      <c r="L244" s="6" t="inlineStr">
        <is>
          <t>Luxury Living in Hadapsar Starts at Just ₹72.99 Lac* ✨  Your dream home is now within reach! Discover premium 2, 3 &amp; 4 BHK Signature Residences in the heart of Hadapsar, Pune, thoughtfully designed with world-class amenities, modern architecture, and seamless connectivity to Pune's leading IT hubs.  Whether you're buying your first home, upgrading your lifestyle, or investing in one of Pune's fastest-growing locations, this is an opportunity you shouldn't miss.  🌟 Why Choose This Project?  ✅ St</t>
        </is>
      </c>
      <c r="M244" s="5" t="inlineStr">
        <is>
          <t>https://www.facebook.com/ads/library/?id=1573561664261670</t>
        </is>
      </c>
    </row>
    <row r="245">
      <c r="A245" s="7" t="n">
        <v>224</v>
      </c>
      <c r="B245" s="7" t="inlineStr">
        <is>
          <t>Ivana Jewels</t>
        </is>
      </c>
      <c r="C245" s="7" t="inlineStr">
        <is>
          <t>Other Advertiser (Event / Service / Direct-to-Consumer)</t>
        </is>
      </c>
      <c r="D245" s="7" t="inlineStr">
        <is>
          <t>KOPA Mall Pune</t>
        </is>
      </c>
      <c r="E245" s="7" t="inlineStr">
        <is>
          <t>Pune</t>
        </is>
      </c>
      <c r="F245" s="7" t="inlineStr">
        <is>
          <t>LIVE</t>
        </is>
      </c>
      <c r="G245" s="7" t="inlineStr">
        <is>
          <t>21 Aug 2026</t>
        </is>
      </c>
      <c r="H245" s="7" t="n">
        <v>12</v>
      </c>
      <c r="I245" s="7" t="inlineStr">
        <is>
          <t>Fresh Test (&lt;30d)</t>
        </is>
      </c>
      <c r="J245" s="7" t="inlineStr">
        <is>
          <t>Learn More</t>
        </is>
      </c>
      <c r="K245" s="8" t="inlineStr">
        <is>
          <t xml:space="preserve">50 Cents Round Solitaire Stud Earrings  IGI/SGL Certified Lab-Grown Diamonds 14/18kt Hallmarked Gold Lifetime Buyback &amp; </t>
        </is>
      </c>
      <c r="L245" s="8" t="inlineStr">
        <is>
          <t>50 Cents Round Solitaire Stud Earrings  IGI/SGL Certified Lab-Grown Diamonds 14/18kt Hallmarked Gold Lifetime Buyback &amp; Exchange Lifetime Warranty Secured &amp; Insured Shipping  Store Location: Broadway Ivana Kopa Mall 7 H.NO.3 + 4 / 2, Village, Mundhwa Rd, Ghorpadi, Pune, Maharashtra 411001  Online: ivanajewels.com 0:00 / 0:21 WWW.INSTAGRAM.COM Ivana Jewels Get quote ​ Active</t>
        </is>
      </c>
      <c r="M245" s="7" t="inlineStr">
        <is>
          <t>https://www.facebook.com/ads/library/?id=1693070991755131</t>
        </is>
      </c>
    </row>
    <row r="246">
      <c r="A246" s="5" t="n">
        <v>225</v>
      </c>
      <c r="B246" s="5" t="inlineStr">
        <is>
          <t>Best Hyderabad Projects</t>
        </is>
      </c>
      <c r="C246" s="5" t="inlineStr">
        <is>
          <t>Real Estate Developer (Location-Piggyback)</t>
        </is>
      </c>
      <c r="D246" s="5" t="inlineStr">
        <is>
          <t>Nexus Hyderabad Mall</t>
        </is>
      </c>
      <c r="E246" s="5" t="inlineStr">
        <is>
          <t>Hyderabad</t>
        </is>
      </c>
      <c r="F246" s="5" t="inlineStr">
        <is>
          <t>LIVE</t>
        </is>
      </c>
      <c r="G246" s="5" t="inlineStr">
        <is>
          <t>21 Aug 2026</t>
        </is>
      </c>
      <c r="H246" s="5" t="n">
        <v>12</v>
      </c>
      <c r="I246" s="5" t="inlineStr">
        <is>
          <t>Fresh Test (&lt;30d)</t>
        </is>
      </c>
      <c r="J246" s="5" t="inlineStr">
        <is>
          <t>Learn More</t>
        </is>
      </c>
      <c r="K246" s="6" t="inlineStr">
        <is>
          <t xml:space="preserve">📢20% Now </t>
        </is>
      </c>
      <c r="L246" s="6" t="inlineStr">
        <is>
          <t>📢20% Now | 40% After 2 Years | 40% At Handover  📍Kukatpally, Hyderabad  Premium 3 &amp; 4 BHK Residences  ₹ 2 Cr*  ✅RCC Framed Structure ✅Smart Home Integration &amp; Digital Lock System ✅Earthquake-Safe RCC Structure ✅Premium Wooden Bedroom Flooring ✅Spacious Living &amp; Dining ✅Modern Elegant Architecture  🏢Just 5 Km. from Nexus Hyderabad Mall 🏥10 Mins from Yashoda Hospital 0:00 / 0:41 FB.ME Book Your Dream Home Today Get quote ​ Active</t>
        </is>
      </c>
      <c r="M246" s="5" t="inlineStr">
        <is>
          <t>https://www.facebook.com/ads/library/?id=1722100426628473</t>
        </is>
      </c>
    </row>
    <row r="247">
      <c r="A247" s="7" t="n">
        <v>226</v>
      </c>
      <c r="B247" s="7" t="inlineStr">
        <is>
          <t>koskii</t>
        </is>
      </c>
      <c r="C247" s="7" t="inlineStr">
        <is>
          <t>Other Advertiser (Event / Service / Direct-to-Consumer)</t>
        </is>
      </c>
      <c r="D247" s="7" t="inlineStr">
        <is>
          <t>Sarath City Capital Mall</t>
        </is>
      </c>
      <c r="E247" s="7" t="inlineStr">
        <is>
          <t>Hyderabad</t>
        </is>
      </c>
      <c r="F247" s="7" t="inlineStr">
        <is>
          <t>LIVE</t>
        </is>
      </c>
      <c r="G247" s="7" t="inlineStr">
        <is>
          <t>21 Aug 2026</t>
        </is>
      </c>
      <c r="H247" s="7" t="n">
        <v>12</v>
      </c>
      <c r="I247" s="7" t="inlineStr">
        <is>
          <t>Fresh Test (&lt;30d)</t>
        </is>
      </c>
      <c r="J247" s="7" t="inlineStr">
        <is>
          <t>Learn More</t>
        </is>
      </c>
      <c r="K247" s="8" t="inlineStr">
        <is>
          <t>Hyderabad, your celebration look is waiting right here at Koskii ✨  Discover 2000+ styles for weddings, festivities &amp; ev</t>
        </is>
      </c>
      <c r="L247" s="8" t="inlineStr">
        <is>
          <t>Hyderabad, your celebration look is waiting right here at Koskii ✨  Discover 2000+ styles for weddings, festivities &amp; every special occasion, and 28+ stores.  LEHENGAS | SAREES | SALWAR SUITS | READY-MADES  📍 Visit Koskii Stores Now  Jubilee Hills | Sarath City Mall | Banjara Hills KOSKII.COM Your Trusted Destination for Celebration Wear Koskii.com</t>
        </is>
      </c>
      <c r="M247" s="7" t="inlineStr">
        <is>
          <t>https://www.facebook.com/ads/library/?id=1067407409162598</t>
        </is>
      </c>
    </row>
    <row r="248">
      <c r="A248" s="5" t="n">
        <v>227</v>
      </c>
      <c r="B248" s="5" t="inlineStr">
        <is>
          <t>Krishnapatnam</t>
        </is>
      </c>
      <c r="C248" s="5" t="inlineStr">
        <is>
          <t>Other Advertiser (Event / Service / Direct-to-Consumer)</t>
        </is>
      </c>
      <c r="D248" s="5" t="inlineStr">
        <is>
          <t>Sarath City Capital Mall</t>
        </is>
      </c>
      <c r="E248" s="5" t="inlineStr">
        <is>
          <t>Hyderabad</t>
        </is>
      </c>
      <c r="F248" s="5" t="inlineStr">
        <is>
          <t>LIVE</t>
        </is>
      </c>
      <c r="G248" s="5" t="inlineStr">
        <is>
          <t>21 Aug 2026</t>
        </is>
      </c>
      <c r="H248" s="5" t="n">
        <v>12</v>
      </c>
      <c r="I248" s="5" t="inlineStr">
        <is>
          <t>Fresh Test (&lt;30d)</t>
        </is>
      </c>
      <c r="J248" s="5" t="inlineStr">
        <is>
          <t>Learn More</t>
        </is>
      </c>
      <c r="K248" s="6" t="inlineStr">
        <is>
          <t>The best afternoons usually start around a full table.</t>
        </is>
      </c>
      <c r="L248" s="6" t="inlineStr">
        <is>
          <t>The best afternoons usually start around a full table.  Bring your people, order your favourites, and enjoy an afternoon filled with authentic Telugu food and warm hospitality.  Your afternoon, served with Telugu flavour.  Our Branches: JUBLIEE HILLS: 9169695566 NEXUS MALL: 9169693344 AMB SARATH CITY CAPITAL MALL: 9117445566,9117667788 KOTHAPET: 917559778899,916913778899 . . . . . #krishnapatnam #afternoonsatkp #authentickitchenandbar #southindianrestaurant #teluguflavours 0:00 / 0:28 WWW.INSTAG</t>
        </is>
      </c>
      <c r="M248" s="5" t="inlineStr">
        <is>
          <t>https://www.facebook.com/ads/library/?id=1528351208610622</t>
        </is>
      </c>
    </row>
    <row r="249">
      <c r="A249" s="7" t="n">
        <v>228</v>
      </c>
      <c r="B249" s="7" t="inlineStr">
        <is>
          <t>Wonderchef</t>
        </is>
      </c>
      <c r="C249" s="7" t="inlineStr">
        <is>
          <t>Tenant / Retail Brand (Co-Op Candidate)</t>
        </is>
      </c>
      <c r="D249" s="7" t="inlineStr">
        <is>
          <t>Sarath City Capital Mall</t>
        </is>
      </c>
      <c r="E249" s="7" t="inlineStr">
        <is>
          <t>Hyderabad</t>
        </is>
      </c>
      <c r="F249" s="7" t="inlineStr">
        <is>
          <t>LIVE</t>
        </is>
      </c>
      <c r="G249" s="7" t="inlineStr">
        <is>
          <t>21 Aug 2026</t>
        </is>
      </c>
      <c r="H249" s="7" t="n">
        <v>12</v>
      </c>
      <c r="I249" s="7" t="inlineStr">
        <is>
          <t>Fresh Test (&lt;30d)</t>
        </is>
      </c>
      <c r="J249" s="7" t="inlineStr">
        <is>
          <t>Learn More</t>
        </is>
      </c>
      <c r="K249" s="8" t="inlineStr">
        <is>
          <t>🎉 Wonderchef now in Sarath City Capital Mall!</t>
        </is>
      </c>
      <c r="L249" s="8" t="inlineStr">
        <is>
          <t>🎉 Wonderchef now in Sarath City Capital Mall! Visit our new Exclusive Brand Outlet and grab unmissable discounts on mixers, cookware, and kitchen appliances. Cook smart. Cook stylish. Only with Wonderchef. 🍳 FB.ME Raksha Bandhan Sale is Live! See Details   FB.ME Hyderabad, Wonderchef is here! See Details   FB.ME Explore the range of Cookware &amp; appliances you’ll love See Details   FB.ME Exclusive launch deals await you See Details   FB.ME Designed by Chef Sanjeev Kapoor See Details   FB.ME Visi</t>
        </is>
      </c>
      <c r="M249" s="7" t="inlineStr">
        <is>
          <t>https://www.facebook.com/ads/library/?id=1726702141895677</t>
        </is>
      </c>
    </row>
    <row r="250">
      <c r="A250" s="5" t="n">
        <v>229</v>
      </c>
      <c r="B250" s="5" t="inlineStr">
        <is>
          <t>New Launch Kharadi</t>
        </is>
      </c>
      <c r="C250" s="5" t="inlineStr">
        <is>
          <t>Real Estate Developer (Location-Piggyback)</t>
        </is>
      </c>
      <c r="D250" s="5" t="inlineStr">
        <is>
          <t>Phoenix Marketcity Pune</t>
        </is>
      </c>
      <c r="E250" s="5" t="inlineStr">
        <is>
          <t>Pune</t>
        </is>
      </c>
      <c r="F250" s="5" t="inlineStr">
        <is>
          <t>LIVE</t>
        </is>
      </c>
      <c r="G250" s="5" t="inlineStr">
        <is>
          <t>22 Aug 2026</t>
        </is>
      </c>
      <c r="H250" s="5" t="n">
        <v>11</v>
      </c>
      <c r="I250" s="5" t="inlineStr">
        <is>
          <t>Fresh Test (&lt;30d)</t>
        </is>
      </c>
      <c r="J250" s="5" t="inlineStr">
        <is>
          <t>Learn More</t>
        </is>
      </c>
      <c r="K250" s="6" t="inlineStr">
        <is>
          <t>🏡 Your Dream Home in Kharadi Starts Here.</t>
        </is>
      </c>
      <c r="L250" s="6" t="inlineStr">
        <is>
          <t>🏡 Your Dream Home in Kharadi Starts Here. Imagine waking up every day in a premium township designed for luxury, comfort, and convenience. ✨ New Launch in Kharadi ✅ 2, 3 &amp; 4 BHK Premium Homes 💰 Starting from ₹1.13 Crore Onwards 🌿 70% Open Space 🏢 11 Towers | 21 Floors ✨ 74+ Lifestyle Amenities  🎁 Pre-Launch Exclusive Offer Book your dream home with just ₹99,000 ✅ 100% Refundable Token 📍 Prime Location: • BNY – 1 KM • Phoenix Marketcity – 2 KM • EON IT Park – 15 Minutes • Pune Airport – 20–</t>
        </is>
      </c>
      <c r="M250" s="5" t="inlineStr">
        <is>
          <t>https://www.facebook.com/ads/library/?id=1088394023589200</t>
        </is>
      </c>
    </row>
    <row r="251">
      <c r="A251" s="7" t="n">
        <v>230</v>
      </c>
      <c r="B251" s="7" t="inlineStr">
        <is>
          <t>Peter England</t>
        </is>
      </c>
      <c r="C251" s="7" t="inlineStr">
        <is>
          <t>Other Advertiser (Event / Service / Direct-to-Consumer)</t>
        </is>
      </c>
      <c r="D251" s="7" t="inlineStr">
        <is>
          <t>Amanora Mall Pune</t>
        </is>
      </c>
      <c r="E251" s="7" t="inlineStr">
        <is>
          <t>Pune</t>
        </is>
      </c>
      <c r="F251" s="7" t="inlineStr">
        <is>
          <t>LIVE</t>
        </is>
      </c>
      <c r="G251" s="7" t="inlineStr">
        <is>
          <t>22 Aug 2026</t>
        </is>
      </c>
      <c r="H251" s="7" t="n">
        <v>11</v>
      </c>
      <c r="I251" s="7" t="inlineStr">
        <is>
          <t>Fresh Test (&lt;30d)</t>
        </is>
      </c>
      <c r="J251" s="7" t="inlineStr">
        <is>
          <t>Shop Now</t>
        </is>
      </c>
      <c r="K251" s="8" t="inlineStr">
        <is>
          <t>We're now in your city.</t>
        </is>
      </c>
      <c r="L251" s="8" t="inlineStr">
        <is>
          <t>We're now in your city. Come experience the latest collection &amp; grab a limited-period inaugural offer. Visit the new Peter England store and save big. A New Style Destination Awaits Walk-in Today</t>
        </is>
      </c>
      <c r="M251" s="7" t="inlineStr">
        <is>
          <t>https://www.facebook.com/ads/library/?id=1406217917608446</t>
        </is>
      </c>
    </row>
    <row r="252">
      <c r="A252" s="5" t="n">
        <v>231</v>
      </c>
      <c r="B252" s="5" t="inlineStr">
        <is>
          <t>Mundhwa Luxury Projects</t>
        </is>
      </c>
      <c r="C252" s="5" t="inlineStr">
        <is>
          <t>Real Estate Developer (Location-Piggyback)</t>
        </is>
      </c>
      <c r="D252" s="5" t="inlineStr">
        <is>
          <t>Amanora Mall Pune</t>
        </is>
      </c>
      <c r="E252" s="5" t="inlineStr">
        <is>
          <t>Pune</t>
        </is>
      </c>
      <c r="F252" s="5" t="inlineStr">
        <is>
          <t>LIVE</t>
        </is>
      </c>
      <c r="G252" s="5" t="inlineStr">
        <is>
          <t>22 Aug 2026</t>
        </is>
      </c>
      <c r="H252" s="5" t="n">
        <v>11</v>
      </c>
      <c r="I252" s="5" t="inlineStr">
        <is>
          <t>Fresh Test (&lt;30d)</t>
        </is>
      </c>
      <c r="J252" s="5" t="inlineStr">
        <is>
          <t>Learn More</t>
        </is>
      </c>
      <c r="K252" s="6" t="inlineStr">
        <is>
          <t>Mundhwa's Finest 3 &amp; 4 BHK Residences 2.40Cr* onwards *Show Flat for representation purpose only.</t>
        </is>
      </c>
      <c r="L252" s="6" t="inlineStr">
        <is>
          <t>Mundhwa's Finest 3 &amp; 4 BHK Residences 2.40Cr* onwards *Show Flat for representation purpose only. Please visit site for show flat tour  ➦ Grand 3 BHK 2.40Cr* onwards ➦ Grand 4 BHK 3.00Cr* onwards ➦ 30+ Thoughtful Amenities ➦ Close proximity to Koregaon Park, Kopa Mall, Kharadi IT Park, Amanora Mall 0:00 / 0:43 FB.ME Mundhwa's Finest 3 &amp; 4 BHK Residences 2.40Cr* onwards Get quote ​ Active</t>
        </is>
      </c>
      <c r="M252" s="5" t="inlineStr">
        <is>
          <t>https://www.facebook.com/ads/library/?id=898173866503894</t>
        </is>
      </c>
    </row>
    <row r="253">
      <c r="A253" s="7" t="n">
        <v>232</v>
      </c>
      <c r="B253" s="7" t="inlineStr">
        <is>
          <t>Copper Chimney</t>
        </is>
      </c>
      <c r="C253" s="7" t="inlineStr">
        <is>
          <t>Other Advertiser (Event / Service / Direct-to-Consumer)</t>
        </is>
      </c>
      <c r="D253" s="7" t="inlineStr">
        <is>
          <t>KOPA Mall Pune</t>
        </is>
      </c>
      <c r="E253" s="7" t="inlineStr">
        <is>
          <t>Pune</t>
        </is>
      </c>
      <c r="F253" s="7" t="inlineStr">
        <is>
          <t>LIVE</t>
        </is>
      </c>
      <c r="G253" s="7" t="inlineStr">
        <is>
          <t>22 Aug 2026</t>
        </is>
      </c>
      <c r="H253" s="7" t="n">
        <v>11</v>
      </c>
      <c r="I253" s="7" t="inlineStr">
        <is>
          <t>Fresh Test (&lt;30d)</t>
        </is>
      </c>
      <c r="J253" s="7" t="inlineStr">
        <is>
          <t>Learn More</t>
        </is>
      </c>
      <c r="K253" s="8" t="inlineStr">
        <is>
          <t>Pune, something special is on its way.</t>
        </is>
      </c>
      <c r="L253" s="8" t="inlineStr">
        <is>
          <t>Pune, something special is on its way.  Copper Chimney is bringing over five decades of Indian flavours, time-honoured recipes and the unmistakable Copper Chimney experience to KOPA Mall.  A new table. The same legacy.  Coming soon to KOPA Mall, Pune. Stay tuned.   (Copper Chimney, KOPA Mall, KOPA Mall Pune, restaurants in Pune, Indian restaurant Pune, best Indian food Pune, dining in Pune, Pune restaurants, Indian cuisine, family dining Pune) 0:00 / 0:18 ​ Active</t>
        </is>
      </c>
      <c r="M253" s="7" t="inlineStr">
        <is>
          <t>https://www.facebook.com/ads/library/?id=1554208719046989</t>
        </is>
      </c>
    </row>
    <row r="254">
      <c r="A254" s="5" t="n">
        <v>233</v>
      </c>
      <c r="B254" s="5" t="inlineStr">
        <is>
          <t>Osho Jain</t>
        </is>
      </c>
      <c r="C254" s="5" t="inlineStr">
        <is>
          <t>Other Advertiser (Event / Service / Direct-to-Consumer)</t>
        </is>
      </c>
      <c r="D254" s="5" t="inlineStr">
        <is>
          <t>KOPA Mall Pune</t>
        </is>
      </c>
      <c r="E254" s="5" t="inlineStr">
        <is>
          <t>Pune</t>
        </is>
      </c>
      <c r="F254" s="5" t="inlineStr">
        <is>
          <t>LIVE</t>
        </is>
      </c>
      <c r="G254" s="5" t="inlineStr">
        <is>
          <t>22 Aug 2026</t>
        </is>
      </c>
      <c r="H254" s="5" t="n">
        <v>11</v>
      </c>
      <c r="I254" s="5" t="inlineStr">
        <is>
          <t>Fresh Test (&lt;30d)</t>
        </is>
      </c>
      <c r="J254" s="5" t="inlineStr">
        <is>
          <t>Learn More</t>
        </is>
      </c>
      <c r="K254" s="6" t="inlineStr">
        <is>
          <t>Pune ❤️ 𝐈 𝐤𝐧𝐨𝐰 𝐭𝐡𝐞 𝐥𝐚𝐬𝐭 𝐬𝐡𝐨𝐰 𝐠𝐨𝐭 𝐜𝐚𝐧𝐜𝐞𝐥𝐥𝐞𝐝.</t>
        </is>
      </c>
      <c r="L254" s="6" t="inlineStr">
        <is>
          <t>Pune ❤️ 𝐈 𝐤𝐧𝐨𝐰 𝐭𝐡𝐞 𝐥𝐚𝐬𝐭 𝐬𝐡𝐨𝐰 𝐠𝐨𝐭 𝐜𝐚𝐧𝐜𝐞𝐥𝐥𝐞𝐝.  But this time, 𝐖𝐄’𝐑𝐄 𝐀𝐂𝐓𝐔𝐀𝐋𝐋𝐘 𝐃𝐎𝐈𝐍𝐆 𝐈𝐓. 🥹  I’m coming back to Pune for 𝐈𝐧𝐝𝐢𝐞 𝐖𝐚𝐯𝐞 on 𝟔𝐭𝐡 𝐒𝐞𝐩𝐭𝐞𝐦𝐛𝐞𝐫.  🎶 Live music. ❤️ Your favourite songs. ✨ A night together.  📍 KOPA Mall, Pune ⏰ 5:30 PM  🎟️ 𝐓𝐡𝐢𝐬 𝐨𝐧𝐞 𝐢𝐬 𝐅𝐈𝐍𝐀𝐋. 𝐁𝐨𝐨𝐤 𝐲𝐨𝐮𝐫 𝐭𝐢𝐜𝐤𝐞𝐭𝐬 𝐧𝐨𝐰. 0:00 / 0:36 ​ Active</t>
        </is>
      </c>
      <c r="M254" s="5" t="inlineStr">
        <is>
          <t>https://www.facebook.com/ads/library/?id=940543591726932</t>
        </is>
      </c>
    </row>
    <row r="255">
      <c r="A255" s="7" t="n">
        <v>234</v>
      </c>
      <c r="B255" s="7" t="inlineStr">
        <is>
          <t>Ivana Jewels</t>
        </is>
      </c>
      <c r="C255" s="7" t="inlineStr">
        <is>
          <t>Other Advertiser (Event / Service / Direct-to-Consumer)</t>
        </is>
      </c>
      <c r="D255" s="7" t="inlineStr">
        <is>
          <t>KOPA Mall Pune</t>
        </is>
      </c>
      <c r="E255" s="7" t="inlineStr">
        <is>
          <t>Pune</t>
        </is>
      </c>
      <c r="F255" s="7" t="inlineStr">
        <is>
          <t>LIVE</t>
        </is>
      </c>
      <c r="G255" s="7" t="inlineStr">
        <is>
          <t>22 Aug 2026</t>
        </is>
      </c>
      <c r="H255" s="7" t="n">
        <v>11</v>
      </c>
      <c r="I255" s="7" t="inlineStr">
        <is>
          <t>Fresh Test (&lt;30d)</t>
        </is>
      </c>
      <c r="J255" s="7" t="inlineStr">
        <is>
          <t>Learn More</t>
        </is>
      </c>
      <c r="K255" s="8" t="inlineStr">
        <is>
          <t>1.7 Carat Each Round Cut Diamond Halo Earrings  IGI/SGL Certified Lab-Grown Diamonds 14/18kt Hallmarked Gold Lifetime Bu</t>
        </is>
      </c>
      <c r="L255" s="8" t="inlineStr">
        <is>
          <t>1.7 Carat Each Round Cut Diamond Halo Earrings  IGI/SGL Certified Lab-Grown Diamonds 14/18kt Hallmarked Gold Lifetime Buyback &amp; Exchange Lifetime Warranty Secured &amp; Insured Shipping  Store Location: Broadway Ivana, Kopa Mall, Mundhwa Rd, Ghorpadi, Pune, Maharashtra 411001  Online: ivanajewels.com 0:00 / 0:22 WWW.INSTAGRAM.COM Ivana Jewels Get quote ​ Active</t>
        </is>
      </c>
      <c r="M255" s="7" t="inlineStr">
        <is>
          <t>https://www.facebook.com/ads/library/?id=1036675292325569</t>
        </is>
      </c>
    </row>
    <row r="256">
      <c r="A256" s="5" t="n">
        <v>235</v>
      </c>
      <c r="B256" s="5" t="inlineStr">
        <is>
          <t>Ivana Jewels</t>
        </is>
      </c>
      <c r="C256" s="5" t="inlineStr">
        <is>
          <t>Other Advertiser (Event / Service / Direct-to-Consumer)</t>
        </is>
      </c>
      <c r="D256" s="5" t="inlineStr">
        <is>
          <t>KOPA Mall Pune</t>
        </is>
      </c>
      <c r="E256" s="5" t="inlineStr">
        <is>
          <t>Pune</t>
        </is>
      </c>
      <c r="F256" s="5" t="inlineStr">
        <is>
          <t>LIVE</t>
        </is>
      </c>
      <c r="G256" s="5" t="inlineStr">
        <is>
          <t>22 Aug 2026</t>
        </is>
      </c>
      <c r="H256" s="5" t="n">
        <v>11</v>
      </c>
      <c r="I256" s="5" t="inlineStr">
        <is>
          <t>Fresh Test (&lt;30d)</t>
        </is>
      </c>
      <c r="J256" s="5" t="inlineStr">
        <is>
          <t>Learn More</t>
        </is>
      </c>
      <c r="K256" s="6" t="inlineStr">
        <is>
          <t>3.5 Carat Oval Cut Diamond Solitaire Ring  IGI/SGL Certified Lab-Grown Diamonds 14/18kt Hallmarked Gold Lifetime Buyback</t>
        </is>
      </c>
      <c r="L256" s="6" t="inlineStr">
        <is>
          <t>3.5 Carat Oval Cut Diamond Solitaire Ring  IGI/SGL Certified Lab-Grown Diamonds 14/18kt Hallmarked Gold Lifetime Buyback &amp; Exchange Lifetime Warranty Secured &amp; Insured Shipping  Store Location: Broadway Ivana, Kopa Mall, Mundhwa Rd, Ghorpadi, Pune, Maharashtra 411001  Online: ivanajewels.com 0:00 / 0:17 WWW.INSTAGRAM.COM Ivana Jewels Get quote ​ Active</t>
        </is>
      </c>
      <c r="M256" s="5" t="inlineStr">
        <is>
          <t>https://www.facebook.com/ads/library/?id=2113188316219402</t>
        </is>
      </c>
    </row>
    <row r="257">
      <c r="A257" s="7" t="n">
        <v>236</v>
      </c>
      <c r="B257" s="7" t="inlineStr">
        <is>
          <t>Ivana Jewels</t>
        </is>
      </c>
      <c r="C257" s="7" t="inlineStr">
        <is>
          <t>Other Advertiser (Event / Service / Direct-to-Consumer)</t>
        </is>
      </c>
      <c r="D257" s="7" t="inlineStr">
        <is>
          <t>KOPA Mall Pune</t>
        </is>
      </c>
      <c r="E257" s="7" t="inlineStr">
        <is>
          <t>Pune</t>
        </is>
      </c>
      <c r="F257" s="7" t="inlineStr">
        <is>
          <t>LIVE</t>
        </is>
      </c>
      <c r="G257" s="7" t="inlineStr">
        <is>
          <t>22 Aug 2026</t>
        </is>
      </c>
      <c r="H257" s="7" t="n">
        <v>11</v>
      </c>
      <c r="I257" s="7" t="inlineStr">
        <is>
          <t>Fresh Test (&lt;30d)</t>
        </is>
      </c>
      <c r="J257" s="7" t="inlineStr">
        <is>
          <t>Learn More</t>
        </is>
      </c>
      <c r="K257" s="8" t="inlineStr">
        <is>
          <t>1 ct Pear Diamond Halo Earrings  IGI/SGL Certified Lab-Grown Diamonds 14/18kt Hallmarked Gold Lifetime Buyback &amp; Exchang</t>
        </is>
      </c>
      <c r="L257" s="8" t="inlineStr">
        <is>
          <t>1 ct Pear Diamond Halo Earrings  IGI/SGL Certified Lab-Grown Diamonds 14/18kt Hallmarked Gold Lifetime Buyback &amp; Exchange Lifetime Warranty Secured &amp; Insured Shipping  Store Location: Broadway Ivana Kopa Mall 7 H.NO.3 + 4 / 2, Village, Mundhwa Rd, Ghorpadi, Pune, Maharashtra 411001  Online: ivanajewels.com 0:00 / 0:31 WWW.INSTAGRAM.COM Ivana Jewels Get quote ​ Active</t>
        </is>
      </c>
      <c r="M257" s="7" t="inlineStr">
        <is>
          <t>https://www.facebook.com/ads/library/?id=1692178931889345</t>
        </is>
      </c>
    </row>
    <row r="258">
      <c r="A258" s="5" t="n">
        <v>237</v>
      </c>
      <c r="B258" s="5" t="inlineStr">
        <is>
          <t>Ivana Jewels</t>
        </is>
      </c>
      <c r="C258" s="5" t="inlineStr">
        <is>
          <t>Other Advertiser (Event / Service / Direct-to-Consumer)</t>
        </is>
      </c>
      <c r="D258" s="5" t="inlineStr">
        <is>
          <t>KOPA Mall Pune</t>
        </is>
      </c>
      <c r="E258" s="5" t="inlineStr">
        <is>
          <t>Pune</t>
        </is>
      </c>
      <c r="F258" s="5" t="inlineStr">
        <is>
          <t>LIVE</t>
        </is>
      </c>
      <c r="G258" s="5" t="inlineStr">
        <is>
          <t>22 Aug 2026</t>
        </is>
      </c>
      <c r="H258" s="5" t="n">
        <v>11</v>
      </c>
      <c r="I258" s="5" t="inlineStr">
        <is>
          <t>Fresh Test (&lt;30d)</t>
        </is>
      </c>
      <c r="J258" s="5" t="inlineStr">
        <is>
          <t>Learn More</t>
        </is>
      </c>
      <c r="K258" s="6" t="inlineStr">
        <is>
          <t xml:space="preserve">30 Pointer Round Diamond Tennis Bracelet  IGI/SGL Certified Lab-Grown Diamonds 14/18kt Hallmarked Gold Lifetime Buyback </t>
        </is>
      </c>
      <c r="L258" s="6" t="inlineStr">
        <is>
          <t>30 Pointer Round Diamond Tennis Bracelet  IGI/SGL Certified Lab-Grown Diamonds 14/18kt Hallmarked Gold Lifetime Buyback &amp; Exchange Lifetime Warranty Secured &amp; Insured Shipping  Store Location: Broadway Ivana, Kopa Mall, Mundhwa Rd, Ghorpadi, Pune, Maharashtra 411001  Online: ivanajewels.com 0:00 / 0:19 WWW.INSTAGRAM.COM Ivana Jewels Get quote ​ Active</t>
        </is>
      </c>
      <c r="M258" s="5" t="inlineStr">
        <is>
          <t>https://www.facebook.com/ads/library/?id=1576352507365051</t>
        </is>
      </c>
    </row>
    <row r="259">
      <c r="A259" s="7" t="n">
        <v>238</v>
      </c>
      <c r="B259" s="7" t="inlineStr">
        <is>
          <t>Candeur Lakescape</t>
        </is>
      </c>
      <c r="C259" s="7" t="inlineStr">
        <is>
          <t>Other Advertiser (Event / Service / Direct-to-Consumer)</t>
        </is>
      </c>
      <c r="D259" s="7" t="inlineStr">
        <is>
          <t>Sarath City Capital Mall</t>
        </is>
      </c>
      <c r="E259" s="7" t="inlineStr">
        <is>
          <t>Hyderabad</t>
        </is>
      </c>
      <c r="F259" s="7" t="inlineStr">
        <is>
          <t>LIVE</t>
        </is>
      </c>
      <c r="G259" s="7" t="inlineStr">
        <is>
          <t>22 Aug 2026</t>
        </is>
      </c>
      <c r="H259" s="7" t="n">
        <v>11</v>
      </c>
      <c r="I259" s="7" t="inlineStr">
        <is>
          <t>Fresh Test (&lt;30d)</t>
        </is>
      </c>
      <c r="J259" s="7" t="inlineStr">
        <is>
          <t>Learn More</t>
        </is>
      </c>
      <c r="K259" s="8" t="inlineStr">
        <is>
          <t>Tired of endless traffic jams and long daily commutes?</t>
        </is>
      </c>
      <c r="L259" s="8" t="inlineStr">
        <is>
          <t>Tired of endless traffic jams and long daily commutes? 🚗🛑 It’s time to trade long drives for more quality time with family. Welcome to Candeur Lakescape in Kondapur—where everything you need is just minutes away!  📍 Unbeatable Connectivity: 🏢 Top IT &amp; Corporate Hubs: Minutes from Microsoft, Infosys, Genpact &amp; TCS 🎓 Premier Schools: Near CHIREC International, Unicent &amp; Sancta Maria 🏥 Healthcare: Quick access to Citizens, KIMS &amp; Continental Hospitals 🛍️ Entertainment: Just 10 minutes from S</t>
        </is>
      </c>
      <c r="M259" s="7" t="inlineStr">
        <is>
          <t>https://www.facebook.com/ads/library/?id=958383223940796</t>
        </is>
      </c>
    </row>
    <row r="260">
      <c r="A260" s="5" t="n">
        <v>239</v>
      </c>
      <c r="B260" s="5" t="inlineStr">
        <is>
          <t>Candeur Lakescape</t>
        </is>
      </c>
      <c r="C260" s="5" t="inlineStr">
        <is>
          <t>Other Advertiser (Event / Service / Direct-to-Consumer)</t>
        </is>
      </c>
      <c r="D260" s="5" t="inlineStr">
        <is>
          <t>Sarath City Capital Mall</t>
        </is>
      </c>
      <c r="E260" s="5" t="inlineStr">
        <is>
          <t>Hyderabad</t>
        </is>
      </c>
      <c r="F260" s="5" t="inlineStr">
        <is>
          <t>LIVE</t>
        </is>
      </c>
      <c r="G260" s="5" t="inlineStr">
        <is>
          <t>22 Aug 2026</t>
        </is>
      </c>
      <c r="H260" s="5" t="n">
        <v>11</v>
      </c>
      <c r="I260" s="5" t="inlineStr">
        <is>
          <t>Fresh Test (&lt;30d)</t>
        </is>
      </c>
      <c r="J260" s="5" t="inlineStr">
        <is>
          <t>Learn More</t>
        </is>
      </c>
      <c r="K260" s="6" t="inlineStr">
        <is>
          <t>Tired of endless traffic jams and long daily commutes?</t>
        </is>
      </c>
      <c r="L260" s="6" t="inlineStr">
        <is>
          <t>Tired of endless traffic jams and long daily commutes? 🚗🛑 It’s time to trade long drives for more quality time with family. Welcome to Candeur Lakescape in Kondapur—where everything you need is just minutes away!  📍 Unbeatable Connectivity: 🏢 Top IT &amp; Corporate Hubs: Minutes from Microsoft, Infosys, Genpact &amp; TCS 🎓 Premier Schools: Near CHIREC International, Unicent &amp; Sancta Maria 🏥 Healthcare: Quick access to Citizens, KIMS &amp; Continental Hospitals 🛍️ Entertainment: Just 10 minutes from S</t>
        </is>
      </c>
      <c r="M260" s="5" t="inlineStr">
        <is>
          <t>https://www.facebook.com/ads/library/?id=4544417379180086</t>
        </is>
      </c>
    </row>
    <row r="261">
      <c r="A261" s="7" t="n">
        <v>240</v>
      </c>
      <c r="B261" s="7" t="inlineStr">
        <is>
          <t>Pune New Property Launches</t>
        </is>
      </c>
      <c r="C261" s="7" t="inlineStr">
        <is>
          <t>Real Estate Developer (Location-Piggyback)</t>
        </is>
      </c>
      <c r="D261" s="7" t="inlineStr">
        <is>
          <t>Phoenix Marketcity Pune</t>
        </is>
      </c>
      <c r="E261" s="7" t="inlineStr">
        <is>
          <t>Pune</t>
        </is>
      </c>
      <c r="F261" s="7" t="inlineStr">
        <is>
          <t>LIVE</t>
        </is>
      </c>
      <c r="G261" s="7" t="inlineStr">
        <is>
          <t>23 Aug 2026</t>
        </is>
      </c>
      <c r="H261" s="7" t="n">
        <v>10</v>
      </c>
      <c r="I261" s="7" t="inlineStr">
        <is>
          <t>Fresh Test (&lt;30d)</t>
        </is>
      </c>
      <c r="J261" s="7" t="inlineStr">
        <is>
          <t>Learn More</t>
        </is>
      </c>
      <c r="K261" s="8" t="inlineStr">
        <is>
          <t xml:space="preserve">🏡 Mantra Melange – Luxury 2 &amp; 3 BHK Apartments in Central Kharadi, Pune </t>
        </is>
      </c>
      <c r="L261" s="8" t="inlineStr">
        <is>
          <t>🏡 Mantra Melange – Luxury 2 &amp; 3 BHK Apartments in Central Kharadi, Pune | Starting ₹1.10 Cr*  2/3BHK Starting at just 1.10 Cr* Onwards  Visit Our Sample Flat Today! Schedule Now!  📐 Configurations &amp; Pricing: ✔ 2 BHK – 843–884 Sq.Ft. – ₹1.10–1.15 Cr* ✔ 3 BHK – 1098–1177 Sq.Ft. – ₹1.45–1.60 Cr*  📍 Prime Location – Kharadi, Pune: ✔ EON IT Park – ~10 mins ✔ World Trade Center (WTC) Pune – ~7 mins ✔ Cerebrum IT Park – ~10 mins ✔ Seasons Mall – ~5 mins ✔ Phoenix Marketcity – ~8 mins ✔ Viman Nagar /</t>
        </is>
      </c>
      <c r="M261" s="7" t="inlineStr">
        <is>
          <t>https://www.facebook.com/ads/library/?id=932715239225363</t>
        </is>
      </c>
    </row>
    <row r="262">
      <c r="A262" s="5" t="n">
        <v>241</v>
      </c>
      <c r="B262" s="5" t="inlineStr">
        <is>
          <t>Pune New Property Launches</t>
        </is>
      </c>
      <c r="C262" s="5" t="inlineStr">
        <is>
          <t>Real Estate Developer (Location-Piggyback)</t>
        </is>
      </c>
      <c r="D262" s="5" t="inlineStr">
        <is>
          <t>Phoenix Marketcity Pune</t>
        </is>
      </c>
      <c r="E262" s="5" t="inlineStr">
        <is>
          <t>Pune</t>
        </is>
      </c>
      <c r="F262" s="5" t="inlineStr">
        <is>
          <t>off</t>
        </is>
      </c>
      <c r="G262" s="5" t="inlineStr">
        <is>
          <t>23 Aug 2026</t>
        </is>
      </c>
      <c r="H262" s="5" t="n">
        <v>10</v>
      </c>
      <c r="I262" s="5" t="inlineStr">
        <is>
          <t>Fresh Test (&lt;30d)</t>
        </is>
      </c>
      <c r="J262" s="5" t="inlineStr">
        <is>
          <t>Learn More</t>
        </is>
      </c>
      <c r="K262" s="6" t="inlineStr">
        <is>
          <t xml:space="preserve">🏡 Mantra Melange – Luxury 2 &amp; 3 BHK Apartments in Central Kharadi, Pune </t>
        </is>
      </c>
      <c r="L262" s="6" t="inlineStr">
        <is>
          <t>🏡 Mantra Melange – Luxury 2 &amp; 3 BHK Apartments in Central Kharadi, Pune | Starting ₹1.10 Cr*  2/3BHK Starting at just 1.10 Cr* Onwards  Visit Our Sample Flat Today! Schedule Now!  📐 Configurations &amp; Pricing: ✔ 2 BHK – 843–884 Sq.Ft. – ₹1.10–1.15 Cr* ✔ 3 BHK – 1098–1177 Sq.Ft. – ₹1.45–1.60 Cr*  📍 Prime Location – Kharadi, Pune: ✔ EON IT Park – ~10 mins ✔ World Trade Center (WTC) Pune – ~7 mins ✔ Cerebrum IT Park – ~10 mins ✔ Seasons Mall – ~5 mins ✔ Phoenix Marketcity – ~8 mins ✔ Viman Nagar /</t>
        </is>
      </c>
      <c r="M262" s="5" t="inlineStr">
        <is>
          <t>https://www.facebook.com/ads/library/?id=1462825755331099</t>
        </is>
      </c>
    </row>
    <row r="263">
      <c r="A263" s="7" t="n">
        <v>242</v>
      </c>
      <c r="B263" s="7" t="inlineStr">
        <is>
          <t>Pune Homes - New launch</t>
        </is>
      </c>
      <c r="C263" s="7" t="inlineStr">
        <is>
          <t>Real Estate Developer (Location-Piggyback)</t>
        </is>
      </c>
      <c r="D263" s="7" t="inlineStr">
        <is>
          <t>Seasons Mall Pune</t>
        </is>
      </c>
      <c r="E263" s="7" t="inlineStr">
        <is>
          <t>Pune</t>
        </is>
      </c>
      <c r="F263" s="7" t="inlineStr">
        <is>
          <t>LIVE</t>
        </is>
      </c>
      <c r="G263" s="7" t="inlineStr">
        <is>
          <t>23 Aug 2026</t>
        </is>
      </c>
      <c r="H263" s="7" t="n">
        <v>10</v>
      </c>
      <c r="I263" s="7" t="inlineStr">
        <is>
          <t>Fresh Test (&lt;30d)</t>
        </is>
      </c>
      <c r="J263" s="7" t="inlineStr">
        <is>
          <t>Learn More</t>
        </is>
      </c>
      <c r="K263" s="8" t="inlineStr">
        <is>
          <t>Luxury Living in Hadapsar Starts at Just ₹72.99 Lac* ✨  Your dream home is now within reach!</t>
        </is>
      </c>
      <c r="L263" s="8" t="inlineStr">
        <is>
          <t>Luxury Living in Hadapsar Starts at Just ₹72.99 Lac* ✨  Your dream home is now within reach! Discover premium 2, 3 &amp; 4 BHK Signature Residences in the heart of Hadapsar, Pune, thoughtfully designed with world-class amenities, modern architecture, and seamless connectivity to Pune's leading IT hubs.  Whether you're buying your first home, upgrading your lifestyle, or investing in one of Pune's fastest-growing locations, this is an opportunity you shouldn't miss.  🌟 Why Choose This Project?  ✅ St</t>
        </is>
      </c>
      <c r="M263" s="7" t="inlineStr">
        <is>
          <t>https://www.facebook.com/ads/library/?id=1607024160879152</t>
        </is>
      </c>
    </row>
    <row r="264">
      <c r="A264" s="5" t="n">
        <v>243</v>
      </c>
      <c r="B264" s="5" t="inlineStr">
        <is>
          <t>K S Chithra</t>
        </is>
      </c>
      <c r="C264" s="5" t="inlineStr">
        <is>
          <t>Other Advertiser (Event / Service / Direct-to-Consumer)</t>
        </is>
      </c>
      <c r="D264" s="5" t="inlineStr">
        <is>
          <t>Nexus Hyderabad Mall</t>
        </is>
      </c>
      <c r="E264" s="5" t="inlineStr">
        <is>
          <t>Hyderabad</t>
        </is>
      </c>
      <c r="F264" s="5" t="inlineStr">
        <is>
          <t>off</t>
        </is>
      </c>
      <c r="G264" s="5" t="inlineStr">
        <is>
          <t>23 Aug 2026</t>
        </is>
      </c>
      <c r="H264" s="5" t="n">
        <v>10</v>
      </c>
      <c r="I264" s="5" t="inlineStr">
        <is>
          <t>Fresh Test (&lt;30d)</t>
        </is>
      </c>
      <c r="J264" s="5" t="inlineStr">
        <is>
          <t>Book Now</t>
        </is>
      </c>
      <c r="K264" s="6" t="inlineStr">
        <is>
          <t>K.S.</t>
        </is>
      </c>
      <c r="L264" s="6" t="inlineStr">
        <is>
          <t>K.S. Chithra's songs are tied to countless memories. Now it's time to relive them live in Hyderabad. 0:00 / 0:29 K.S. Chithra Live in Hyderabad Nexus Hyderabad Mall (Outdoor), Kukatpally, Hyderabad</t>
        </is>
      </c>
      <c r="M264" s="5" t="inlineStr">
        <is>
          <t>https://www.facebook.com/ads/library/?id=2118555935674928</t>
        </is>
      </c>
    </row>
    <row r="265">
      <c r="A265" s="7" t="n">
        <v>244</v>
      </c>
      <c r="B265" s="7" t="inlineStr">
        <is>
          <t>Ivana Jewels</t>
        </is>
      </c>
      <c r="C265" s="7" t="inlineStr">
        <is>
          <t>Other Advertiser (Event / Service / Direct-to-Consumer)</t>
        </is>
      </c>
      <c r="D265" s="7" t="inlineStr">
        <is>
          <t>Amanora Mall Pune</t>
        </is>
      </c>
      <c r="E265" s="7" t="inlineStr">
        <is>
          <t>Pune</t>
        </is>
      </c>
      <c r="F265" s="7" t="inlineStr">
        <is>
          <t>LIVE</t>
        </is>
      </c>
      <c r="G265" s="7" t="inlineStr">
        <is>
          <t>24 Aug 2026</t>
        </is>
      </c>
      <c r="H265" s="7" t="n">
        <v>9</v>
      </c>
      <c r="I265" s="7" t="inlineStr">
        <is>
          <t>Fresh Test (&lt;30d)</t>
        </is>
      </c>
      <c r="J265" s="7" t="inlineStr">
        <is>
          <t>Learn More</t>
        </is>
      </c>
      <c r="K265" s="8" t="inlineStr">
        <is>
          <t xml:space="preserve">50 Cents Round Solitaire Stud Earrings  IGI/SGL Certified Lab-Grown Diamonds 14/18kt Hallmarked Gold Lifetime Buyback &amp; </t>
        </is>
      </c>
      <c r="L265" s="8" t="inlineStr">
        <is>
          <t>50 Cents Round Solitaire Stud Earrings  IGI/SGL Certified Lab-Grown Diamonds 14/18kt Hallmarked Gold Lifetime Buyback &amp; Exchange Lifetime Warranty Secured &amp; Insured Shipping  Store Location: West Block, First floor 24 &amp; 25 Amanora Mall Hadapsar Pune Maharashtra 411028.  Online: ivanajewels.com 0:00 / 0:21 WWW.INSTAGRAM.COM Ivana Jewels Get quote ​ Active</t>
        </is>
      </c>
      <c r="M265" s="7" t="inlineStr">
        <is>
          <t>https://www.facebook.com/ads/library/?id=911387128250179</t>
        </is>
      </c>
    </row>
    <row r="266">
      <c r="A266" s="5" t="n">
        <v>245</v>
      </c>
      <c r="B266" s="5" t="inlineStr">
        <is>
          <t>Ivana Jewels</t>
        </is>
      </c>
      <c r="C266" s="5" t="inlineStr">
        <is>
          <t>Other Advertiser (Event / Service / Direct-to-Consumer)</t>
        </is>
      </c>
      <c r="D266" s="5" t="inlineStr">
        <is>
          <t>Amanora Mall Pune</t>
        </is>
      </c>
      <c r="E266" s="5" t="inlineStr">
        <is>
          <t>Pune</t>
        </is>
      </c>
      <c r="F266" s="5" t="inlineStr">
        <is>
          <t>LIVE</t>
        </is>
      </c>
      <c r="G266" s="5" t="inlineStr">
        <is>
          <t>24 Aug 2026</t>
        </is>
      </c>
      <c r="H266" s="5" t="n">
        <v>9</v>
      </c>
      <c r="I266" s="5" t="inlineStr">
        <is>
          <t>Fresh Test (&lt;30d)</t>
        </is>
      </c>
      <c r="J266" s="5" t="inlineStr">
        <is>
          <t>Learn More</t>
        </is>
      </c>
      <c r="K266" s="6" t="inlineStr">
        <is>
          <t>Elegant Multi-Shape Diamond Bangle Bracelet- It moves and makes a statement!</t>
        </is>
      </c>
      <c r="L266" s="6" t="inlineStr">
        <is>
          <t>Elegant Multi-Shape Diamond Bangle Bracelet- It moves and makes a statement!  Store Location: BROADWAY IVANA KOPA MALL &amp; Amanora Mall, Pune  Online: ivanajewels.com 0:00 / 0:17 API.WHATSAPP.COM Connect me to Pune Team Send WhatsApp message ​ Active</t>
        </is>
      </c>
      <c r="M266" s="5" t="inlineStr">
        <is>
          <t>https://www.facebook.com/ads/library/?id=1384125776491386</t>
        </is>
      </c>
    </row>
    <row r="267">
      <c r="A267" s="7" t="n">
        <v>246</v>
      </c>
      <c r="B267" s="7" t="inlineStr">
        <is>
          <t>Ivana Jewels</t>
        </is>
      </c>
      <c r="C267" s="7" t="inlineStr">
        <is>
          <t>Other Advertiser (Event / Service / Direct-to-Consumer)</t>
        </is>
      </c>
      <c r="D267" s="7" t="inlineStr">
        <is>
          <t>Amanora Mall Pune</t>
        </is>
      </c>
      <c r="E267" s="7" t="inlineStr">
        <is>
          <t>Pune</t>
        </is>
      </c>
      <c r="F267" s="7" t="inlineStr">
        <is>
          <t>LIVE</t>
        </is>
      </c>
      <c r="G267" s="7" t="inlineStr">
        <is>
          <t>24 Aug 2026</t>
        </is>
      </c>
      <c r="H267" s="7" t="n">
        <v>9</v>
      </c>
      <c r="I267" s="7" t="inlineStr">
        <is>
          <t>Fresh Test (&lt;30d)</t>
        </is>
      </c>
      <c r="J267" s="7" t="inlineStr">
        <is>
          <t>Learn More</t>
        </is>
      </c>
      <c r="K267" s="8" t="inlineStr">
        <is>
          <t>3.5 Carat Oval Cut Diamond Solitaire Ring  IGI/SGL Certified Lab-Grown Diamonds 14/18kt Hallmarked Gold Lifetime Buyback</t>
        </is>
      </c>
      <c r="L267" s="8" t="inlineStr">
        <is>
          <t>3.5 Carat Oval Cut Diamond Solitaire Ring  IGI/SGL Certified Lab-Grown Diamonds 14/18kt Hallmarked Gold Lifetime Buyback &amp; Exchange Lifetime Warranty Secured &amp; Insured Shipping  Store Location: West Block, First floor 24 &amp; 25 Amanora Mall Hadapsar Pune Maharashtra 411028.  Online: ivanajewels.com 0:00 / 0:17 WWW.INSTAGRAM.COM Ivana Jewels Get quote ​ Active</t>
        </is>
      </c>
      <c r="M267" s="7" t="inlineStr">
        <is>
          <t>https://www.facebook.com/ads/library/?id=1593475518826460</t>
        </is>
      </c>
    </row>
    <row r="268">
      <c r="A268" s="5" t="n">
        <v>247</v>
      </c>
      <c r="B268" s="5" t="inlineStr">
        <is>
          <t>Broadway Live</t>
        </is>
      </c>
      <c r="C268" s="5" t="inlineStr">
        <is>
          <t>Tenant / Retail Brand (Co-Op Candidate)</t>
        </is>
      </c>
      <c r="D268" s="5" t="inlineStr">
        <is>
          <t>KOPA Mall Pune</t>
        </is>
      </c>
      <c r="E268" s="5" t="inlineStr">
        <is>
          <t>Pune</t>
        </is>
      </c>
      <c r="F268" s="5" t="inlineStr">
        <is>
          <t>LIVE</t>
        </is>
      </c>
      <c r="G268" s="5" t="inlineStr">
        <is>
          <t>24 Aug 2026</t>
        </is>
      </c>
      <c r="H268" s="5" t="n">
        <v>9</v>
      </c>
      <c r="I268" s="5" t="inlineStr">
        <is>
          <t>Fresh Test (&lt;30d)</t>
        </is>
      </c>
      <c r="J268" s="5" t="inlineStr">
        <is>
          <t>Learn More</t>
        </is>
      </c>
      <c r="K268" s="6" t="inlineStr">
        <is>
          <t>200+ Next Gen brands now have a new address!</t>
        </is>
      </c>
      <c r="L268" s="6" t="inlineStr">
        <is>
          <t>200+ Next Gen brands now have a new address! More than just a store — step into exclusive launches, community events, &amp; live experiences all in one space.  From fashion to handpicked beauty and skincare to wellness and nutrition — discover the best of Broadway, now at Kopa Mall, Pune! 0:00 / 0:32 INSTAGRAM.COM Broadway Live Visit Instagram profile ​ Active</t>
        </is>
      </c>
      <c r="M268" s="5" t="inlineStr">
        <is>
          <t>https://www.facebook.com/ads/library/?id=1906715347373062</t>
        </is>
      </c>
    </row>
    <row r="269">
      <c r="A269" s="7" t="n">
        <v>248</v>
      </c>
      <c r="B269" s="7" t="inlineStr">
        <is>
          <t>Luxurious Residential Properties</t>
        </is>
      </c>
      <c r="C269" s="7" t="inlineStr">
        <is>
          <t>Real Estate Developer (Location-Piggyback)</t>
        </is>
      </c>
      <c r="D269" s="7" t="inlineStr">
        <is>
          <t>Nexus Hyderabad Mall</t>
        </is>
      </c>
      <c r="E269" s="7" t="inlineStr">
        <is>
          <t>Hyderabad</t>
        </is>
      </c>
      <c r="F269" s="7" t="inlineStr">
        <is>
          <t>LIVE</t>
        </is>
      </c>
      <c r="G269" s="7" t="inlineStr">
        <is>
          <t>24 Aug 2026</t>
        </is>
      </c>
      <c r="H269" s="7" t="n">
        <v>9</v>
      </c>
      <c r="I269" s="7" t="inlineStr">
        <is>
          <t>Fresh Test (&lt;30d)</t>
        </is>
      </c>
      <c r="J269" s="7" t="inlineStr">
        <is>
          <t>Learn More</t>
        </is>
      </c>
      <c r="K269" s="8" t="inlineStr">
        <is>
          <t>3 BHK Premium Apartments Starting @ ₹ 1.65 Cr in Miyapur, Hyderabad.</t>
        </is>
      </c>
      <c r="L269" s="8" t="inlineStr">
        <is>
          <t>3 BHK Premium Apartments Starting @ ₹ 1.65 Cr in Miyapur, Hyderabad. Spacious Homes. Green Living. Smart Connectivity. Discover thoughtfully designed residences offering spacious layouts, expansive green spaces, premium amenities and seamless connectivity to Hyderabad's key IT and lifestyle destinations.  ⭐ Project Highlights  ✔️ Premium 3 BHK Residences. ✔️ Spacious Homes from 1,590–2,060 Sq. Ft. ✔️ Spread Across 3.5 Acres. ✔️ 75% Open Green Spaces. ✔️ 45,000 Sq. Ft. Grand Clubhouse. ✔️ 2 Premi</t>
        </is>
      </c>
      <c r="M269" s="7" t="inlineStr">
        <is>
          <t>https://www.facebook.com/ads/library/?id=1049094704536157</t>
        </is>
      </c>
    </row>
    <row r="270">
      <c r="A270" s="5" t="n">
        <v>249</v>
      </c>
      <c r="B270" s="5" t="inlineStr">
        <is>
          <t>Luxurious Residential Properties</t>
        </is>
      </c>
      <c r="C270" s="5" t="inlineStr">
        <is>
          <t>Real Estate Developer (Location-Piggyback)</t>
        </is>
      </c>
      <c r="D270" s="5" t="inlineStr">
        <is>
          <t>Nexus Hyderabad Mall</t>
        </is>
      </c>
      <c r="E270" s="5" t="inlineStr">
        <is>
          <t>Hyderabad</t>
        </is>
      </c>
      <c r="F270" s="5" t="inlineStr">
        <is>
          <t>LIVE</t>
        </is>
      </c>
      <c r="G270" s="5" t="inlineStr">
        <is>
          <t>24 Aug 2026</t>
        </is>
      </c>
      <c r="H270" s="5" t="n">
        <v>9</v>
      </c>
      <c r="I270" s="5" t="inlineStr">
        <is>
          <t>Fresh Test (&lt;30d)</t>
        </is>
      </c>
      <c r="J270" s="5" t="inlineStr">
        <is>
          <t>Learn More</t>
        </is>
      </c>
      <c r="K270" s="6" t="inlineStr">
        <is>
          <t>3 BHK Premium Apartments Starting @ ₹ 1.65 Cr in Miyapur, Hyderabad.</t>
        </is>
      </c>
      <c r="L270" s="6" t="inlineStr">
        <is>
          <t>3 BHK Premium Apartments Starting @ ₹ 1.65 Cr in Miyapur, Hyderabad. Spacious Homes. Green Living. Smart Connectivity. Discover thoughtfully designed residences offering spacious layouts, expansive green spaces, premium amenities and seamless connectivity to Hyderabad's key IT and lifestyle destinations.  ⭐ Project Highlights  ✔️ Premium 3 BHK Residences. ✔️ Spacious Homes from 1,590–2,060 Sq. Ft. ✔️ Spread Across 3.5 Acres. ✔️ 75% Open Green Spaces. ✔️ 45,000 Sq. Ft. Grand Clubhouse. ✔️ 2 Premi</t>
        </is>
      </c>
      <c r="M270" s="5" t="inlineStr">
        <is>
          <t>https://www.facebook.com/ads/library/?id=1605614781575585</t>
        </is>
      </c>
    </row>
    <row r="271">
      <c r="A271" s="7" t="n">
        <v>250</v>
      </c>
      <c r="B271" s="7" t="inlineStr">
        <is>
          <t>Luxurious Residential Properties</t>
        </is>
      </c>
      <c r="C271" s="7" t="inlineStr">
        <is>
          <t>Real Estate Developer (Location-Piggyback)</t>
        </is>
      </c>
      <c r="D271" s="7" t="inlineStr">
        <is>
          <t>Nexus Hyderabad Mall</t>
        </is>
      </c>
      <c r="E271" s="7" t="inlineStr">
        <is>
          <t>Hyderabad</t>
        </is>
      </c>
      <c r="F271" s="7" t="inlineStr">
        <is>
          <t>off</t>
        </is>
      </c>
      <c r="G271" s="7" t="inlineStr">
        <is>
          <t>24 Aug 2026</t>
        </is>
      </c>
      <c r="H271" s="7" t="n">
        <v>9</v>
      </c>
      <c r="I271" s="7" t="inlineStr">
        <is>
          <t>Fresh Test (&lt;30d)</t>
        </is>
      </c>
      <c r="J271" s="7" t="inlineStr">
        <is>
          <t>Learn More</t>
        </is>
      </c>
      <c r="K271" s="8" t="inlineStr">
        <is>
          <t>3 BHK Premium Apartments Starting @ ₹ 1.65 Cr in Miyapur, Hyderabad.</t>
        </is>
      </c>
      <c r="L271" s="8" t="inlineStr">
        <is>
          <t>3 BHK Premium Apartments Starting @ ₹ 1.65 Cr in Miyapur, Hyderabad. Spacious Homes. Green Living. Smart Connectivity. Discover thoughtfully designed residences offering spacious layouts, expansive green spaces, premium amenities and seamless connectivity to Hyderabad's key IT and lifestyle destinations.  ⭐ Project Highlights  ✔️ Premium 3 BHK Residences. ✔️ Spacious Homes from 1,590–2,060 Sq. Ft. ✔️ Spread Across 3.5 Acres. ✔️ 75% Open Green Spaces. ✔️ 45,000 Sq. Ft. Grand Clubhouse. ✔️ 2 Premi</t>
        </is>
      </c>
      <c r="M271" s="7" t="inlineStr">
        <is>
          <t>https://www.facebook.com/ads/library/?id=1406871454745493</t>
        </is>
      </c>
    </row>
    <row r="272">
      <c r="A272" s="5" t="n">
        <v>251</v>
      </c>
      <c r="B272" s="5" t="inlineStr">
        <is>
          <t>The Band Sumiran</t>
        </is>
      </c>
      <c r="C272" s="5" t="inlineStr">
        <is>
          <t>Other Advertiser (Event / Service / Direct-to-Consumer)</t>
        </is>
      </c>
      <c r="D272" s="5" t="inlineStr">
        <is>
          <t>Sarath City Capital Mall</t>
        </is>
      </c>
      <c r="E272" s="5" t="inlineStr">
        <is>
          <t>Hyderabad</t>
        </is>
      </c>
      <c r="F272" s="5" t="inlineStr">
        <is>
          <t>LIVE</t>
        </is>
      </c>
      <c r="G272" s="5" t="inlineStr">
        <is>
          <t>24 Aug 2026</t>
        </is>
      </c>
      <c r="H272" s="5" t="n">
        <v>9</v>
      </c>
      <c r="I272" s="5" t="inlineStr">
        <is>
          <t>Fresh Test (&lt;30d)</t>
        </is>
      </c>
      <c r="J272" s="5" t="inlineStr">
        <is>
          <t>Book Now</t>
        </is>
      </c>
      <c r="K272" s="6" t="inlineStr">
        <is>
          <t>Bhajan Jamming - Janamashtmi Special by The Band Sumiran @ Rs.</t>
        </is>
      </c>
      <c r="L272" s="6" t="inlineStr">
        <is>
          <t>Bhajan Jamming - Janamashtmi Special by The Band Sumiran @ Rs. 399- WHATSAPP Chat with us</t>
        </is>
      </c>
      <c r="M272" s="5" t="inlineStr">
        <is>
          <t>https://www.facebook.com/ads/library/?id=1315735277101913</t>
        </is>
      </c>
    </row>
    <row r="273">
      <c r="A273" s="7" t="n">
        <v>252</v>
      </c>
      <c r="B273" s="7" t="inlineStr">
        <is>
          <t>NextGen Living</t>
        </is>
      </c>
      <c r="C273" s="7" t="inlineStr">
        <is>
          <t>Real Estate Developer (Location-Piggyback)</t>
        </is>
      </c>
      <c r="D273" s="7" t="inlineStr">
        <is>
          <t>Phoenix Marketcity Pune</t>
        </is>
      </c>
      <c r="E273" s="7" t="inlineStr">
        <is>
          <t>Pune</t>
        </is>
      </c>
      <c r="F273" s="7" t="inlineStr">
        <is>
          <t>LIVE</t>
        </is>
      </c>
      <c r="G273" s="7" t="inlineStr">
        <is>
          <t>25 Aug 2026</t>
        </is>
      </c>
      <c r="H273" s="7" t="n">
        <v>8</v>
      </c>
      <c r="I273" s="7" t="inlineStr">
        <is>
          <t>Fresh Test (&lt;30d)</t>
        </is>
      </c>
      <c r="J273" s="7" t="inlineStr">
        <is>
          <t>Learn More</t>
        </is>
      </c>
      <c r="K273" s="8" t="inlineStr">
        <is>
          <t>Prime Location – 𝐊𝐡𝐚𝐫𝐚𝐝𝐢 , 𝐏𝐮𝐧𝐞  🏙️ 33-Storey High-Rise Living 🌿 Private Sundecks 🌆 Panoramic City &amp; River Views 🏡 Extra</t>
        </is>
      </c>
      <c r="L273" s="8" t="inlineStr">
        <is>
          <t>Prime Location – 𝐊𝐡𝐚𝐫𝐚𝐝𝐢 , 𝐏𝐮𝐧𝐞  🏙️ 33-Storey High-Rise Living 🌿 Private Sundecks 🌆 Panoramic City &amp; River Views 🏡 Extra-Large 3 &amp; 4 BHK Homes ✨ 50+ Lifestyle Amenities 📍 Only 5-Min Walk to EON IT Park &amp; WTC 🏠 Smart Home Automation 🔐 Digital Lock with Biometric &amp; Numeric Access ⚡ In-Flat Generator Backup 🍳 Premium Modular Kitchen 🛁 Premium-Finished Bathrooms  WhatsApp Link - https://wa.link/c5t6k6 FB.ME Close to Phoenix Marketcity, Seasons Mall &amp; Amanora Mall</t>
        </is>
      </c>
      <c r="M273" s="7" t="inlineStr">
        <is>
          <t>https://www.facebook.com/ads/library/?id=1551920929314439</t>
        </is>
      </c>
    </row>
    <row r="274">
      <c r="A274" s="5" t="n">
        <v>253</v>
      </c>
      <c r="B274" s="5" t="inlineStr">
        <is>
          <t>Exclusive Properties in Pune</t>
        </is>
      </c>
      <c r="C274" s="5" t="inlineStr">
        <is>
          <t>Real Estate Developer (Location-Piggyback)</t>
        </is>
      </c>
      <c r="D274" s="5" t="inlineStr">
        <is>
          <t>Amanora Mall Pune</t>
        </is>
      </c>
      <c r="E274" s="5" t="inlineStr">
        <is>
          <t>Pune</t>
        </is>
      </c>
      <c r="F274" s="5" t="inlineStr">
        <is>
          <t>LIVE</t>
        </is>
      </c>
      <c r="G274" s="5" t="inlineStr">
        <is>
          <t>25 Aug 2026</t>
        </is>
      </c>
      <c r="H274" s="5" t="n">
        <v>8</v>
      </c>
      <c r="I274" s="5" t="inlineStr">
        <is>
          <t>Fresh Test (&lt;30d)</t>
        </is>
      </c>
      <c r="J274" s="5" t="inlineStr">
        <is>
          <t>Learn More</t>
        </is>
      </c>
      <c r="K274" s="6" t="inlineStr">
        <is>
          <t>Launching Soon  Location : Hadapsar (Near Amanora)   Project Highlights: ☑️ Excellent Connectivity to IT Hubs, Schools &amp;</t>
        </is>
      </c>
      <c r="L274" s="6" t="inlineStr">
        <is>
          <t>Launching Soon  Location : Hadapsar (Near Amanora)   Project Highlights: ☑️ Excellent Connectivity to IT Hubs, Schools &amp; Colleges ☑️ Homes with Ample Natural Light &amp; Ventilation ☑️ Advanced 4-Tier Security System ☑️ 50+ Premium Lifestyle Amenities 0:00 / 0:35 FB.ME Near Amanora Mall</t>
        </is>
      </c>
      <c r="M274" s="5" t="inlineStr">
        <is>
          <t>https://www.facebook.com/ads/library/?id=1394553189459847</t>
        </is>
      </c>
    </row>
    <row r="275">
      <c r="A275" s="7" t="n">
        <v>254</v>
      </c>
      <c r="B275" s="7" t="inlineStr">
        <is>
          <t>SYNQ Wave with Pluto Entertainment</t>
        </is>
      </c>
      <c r="C275" s="7" t="inlineStr">
        <is>
          <t>Other Advertiser (Event / Service / Direct-to-Consumer)</t>
        </is>
      </c>
      <c r="D275" s="7" t="inlineStr">
        <is>
          <t>KOPA Mall Pune</t>
        </is>
      </c>
      <c r="E275" s="7" t="inlineStr">
        <is>
          <t>Pune</t>
        </is>
      </c>
      <c r="F275" s="7" t="inlineStr">
        <is>
          <t>LIVE</t>
        </is>
      </c>
      <c r="G275" s="7" t="inlineStr">
        <is>
          <t>25 Aug 2026</t>
        </is>
      </c>
      <c r="H275" s="7" t="n">
        <v>8</v>
      </c>
      <c r="I275" s="7" t="inlineStr">
        <is>
          <t>Fresh Test (&lt;30d)</t>
        </is>
      </c>
      <c r="J275" s="7" t="inlineStr">
        <is>
          <t>Learn More</t>
        </is>
      </c>
      <c r="K275" s="8" t="inlineStr">
        <is>
          <t>Some nights you just know are going to hit different!</t>
        </is>
      </c>
      <c r="L275" s="8" t="inlineStr">
        <is>
          <t>Some nights you just know are going to hit different! 6th September is one of them. ✨  Three artists. Three sounds. One night in Pune that feels made just for this moment.  🎸 @oshojain_ acoustic emotion that hits somewhere deep 🎬 @iqlipse_nova cinematic indie storytelling you don’t just hear, you feel 🌙 @this.is.gini in something soft, dreamy, unforgettable  Pune, this one’s for you..  📍 6th Sept 2026 | KOPA Mall, Pune 🎟️ Get Tickets Only On District By Zomato  don’t sleep on this one!  #Os</t>
        </is>
      </c>
      <c r="M275" s="7" t="inlineStr">
        <is>
          <t>https://www.facebook.com/ads/library/?id=1393105242763090</t>
        </is>
      </c>
    </row>
    <row r="276">
      <c r="A276" s="5" t="n">
        <v>255</v>
      </c>
      <c r="B276" s="5" t="inlineStr">
        <is>
          <t>Ivana Jewels</t>
        </is>
      </c>
      <c r="C276" s="5" t="inlineStr">
        <is>
          <t>Other Advertiser (Event / Service / Direct-to-Consumer)</t>
        </is>
      </c>
      <c r="D276" s="5" t="inlineStr">
        <is>
          <t>KOPA Mall Pune</t>
        </is>
      </c>
      <c r="E276" s="5" t="inlineStr">
        <is>
          <t>Pune</t>
        </is>
      </c>
      <c r="F276" s="5" t="inlineStr">
        <is>
          <t>LIVE</t>
        </is>
      </c>
      <c r="G276" s="5" t="inlineStr">
        <is>
          <t>25 Aug 2026</t>
        </is>
      </c>
      <c r="H276" s="5" t="n">
        <v>8</v>
      </c>
      <c r="I276" s="5" t="inlineStr">
        <is>
          <t>Fresh Test (&lt;30d)</t>
        </is>
      </c>
      <c r="J276" s="5" t="inlineStr">
        <is>
          <t>Learn More</t>
        </is>
      </c>
      <c r="K276" s="6" t="inlineStr">
        <is>
          <t>3.5 Ct Marquise Diamond Solitaire with Accent Stones  IGI/SGL Certified Lab-Grown Diamonds 14/18kt Hallmarked Gold Lifet</t>
        </is>
      </c>
      <c r="L276" s="6" t="inlineStr">
        <is>
          <t>3.5 Ct Marquise Diamond Solitaire with Accent Stones  IGI/SGL Certified Lab-Grown Diamonds 14/18kt Hallmarked Gold Lifetime Buyback &amp; Exchange Lifetime Warranty Secured &amp; Insured Shipping  Store Location: Broadway Ivana Kopa Mall 7 H.NO.3 + 4 / 2, Village, Mundhwa Rd, Ghorpadi, Pune, Maharashtra 411001  Online: ivanajewels.com 0:00 / 0:16 WWW.INSTAGRAM.COM Ivana Jewels Get quote ​ Active</t>
        </is>
      </c>
      <c r="M276" s="5" t="inlineStr">
        <is>
          <t>https://www.facebook.com/ads/library/?id=28171849902470462</t>
        </is>
      </c>
    </row>
    <row r="277">
      <c r="A277" s="7" t="n">
        <v>256</v>
      </c>
      <c r="B277" s="7" t="inlineStr">
        <is>
          <t>Rohan Builders India</t>
        </is>
      </c>
      <c r="C277" s="7" t="inlineStr">
        <is>
          <t>Real Estate Developer (Location-Piggyback)</t>
        </is>
      </c>
      <c r="D277" s="7" t="inlineStr">
        <is>
          <t>Phoenix Marketcity Pune</t>
        </is>
      </c>
      <c r="E277" s="7" t="inlineStr">
        <is>
          <t>Pune</t>
        </is>
      </c>
      <c r="F277" s="7" t="inlineStr">
        <is>
          <t>LIVE</t>
        </is>
      </c>
      <c r="G277" s="7" t="inlineStr">
        <is>
          <t>26 Aug 2026</t>
        </is>
      </c>
      <c r="H277" s="7" t="n">
        <v>7</v>
      </c>
      <c r="I277" s="7" t="inlineStr">
        <is>
          <t>Fresh Test (&lt;30d)</t>
        </is>
      </c>
      <c r="J277" s="7" t="inlineStr">
        <is>
          <t>Learn More</t>
        </is>
      </c>
      <c r="K277" s="8" t="inlineStr">
        <is>
          <t>✨ Avail No Pre-EMI till completion offer at Rohan Abhilasha 4, Wagholi.</t>
        </is>
      </c>
      <c r="L277" s="8" t="inlineStr">
        <is>
          <t>✨ Avail No Pre-EMI till completion offer at Rohan Abhilasha 4, Wagholi. Valid for limited period.  ✅ 2 BHK from ₹74 L* ✅ 3 BHK from ₹1.11 Cr*  📍 Prime Connectivity: Pune Airport | Railway Station  💼 Close to Workplaces: EON IT Park | World Trade Center  🎉 Nearby Entertainment: Phoenix Marketcity | Hyatt Regency  🎓 Top Educational Hubs: Podar International | Lexicon International JSPM College | G H Raisoni  🏥 Healthcare Convenience: Lifeline Hospital | Imax Multi Speciality 0:00 / 0:33 2 &amp; 3</t>
        </is>
      </c>
      <c r="M277" s="7" t="inlineStr">
        <is>
          <t>https://www.facebook.com/ads/library/?id=3324569584413663</t>
        </is>
      </c>
    </row>
    <row r="278">
      <c r="A278" s="5" t="n">
        <v>257</v>
      </c>
      <c r="B278" s="5" t="inlineStr">
        <is>
          <t>New Beginnings By Venkatesh Buildcon</t>
        </is>
      </c>
      <c r="C278" s="5" t="inlineStr">
        <is>
          <t>Real Estate Developer (Location-Piggyback)</t>
        </is>
      </c>
      <c r="D278" s="5" t="inlineStr">
        <is>
          <t>Phoenix Marketcity Pune</t>
        </is>
      </c>
      <c r="E278" s="5" t="inlineStr">
        <is>
          <t>Pune</t>
        </is>
      </c>
      <c r="F278" s="5" t="inlineStr">
        <is>
          <t>LIVE</t>
        </is>
      </c>
      <c r="G278" s="5" t="inlineStr">
        <is>
          <t>26 Aug 2026</t>
        </is>
      </c>
      <c r="H278" s="5" t="n">
        <v>7</v>
      </c>
      <c r="I278" s="5" t="inlineStr">
        <is>
          <t>Fresh Test (&lt;30d)</t>
        </is>
      </c>
      <c r="J278" s="5" t="inlineStr">
        <is>
          <t>Learn More</t>
        </is>
      </c>
      <c r="K278" s="6" t="inlineStr">
        <is>
          <t xml:space="preserve">𝗣𝗿𝗲-𝗟𝗮𝘂𝗻𝗰𝗵 </t>
        </is>
      </c>
      <c r="L278" s="6" t="inlineStr">
        <is>
          <t>𝗣𝗿𝗲-𝗟𝗮𝘂𝗻𝗰𝗵 | 𝗞𝗵𝗮𝗿𝗮𝗱𝗶'𝘀 𝗥𝗲𝘀𝗼𝗿𝘁-𝗦𝘁𝘆𝗹𝗲 𝗧𝗼𝘄𝗻𝘀𝗵𝗶𝗽 | 𝟮, 𝟯 &amp; 𝟰 𝗕𝗛𝗞 𝗛𝗼𝗺𝗲𝘀 𝗦𝘁𝗮𝗿𝘁𝗶𝗻𝗴 𝗮𝘁 ₹𝟭.𝟭𝟮 𝗖𝗿𝗼𝗿𝗲 📍 Chandan Nagar, Kharadi, Pune  Highlights:  ● Resort-style tropical living by Venkatesh Buildcon — 10 acres of prime land in Kharadi ● 2, 3 &amp; 4 BHK homes from 777 sq.ft to 1,944 sq.ft — spacious, thoughtfully planned layouts ● 21 storeys tall with 4 levels of dedicated parking ● 25+ world-class amenities designed around resort-style living ●</t>
        </is>
      </c>
      <c r="M278" s="5" t="inlineStr">
        <is>
          <t>https://www.facebook.com/ads/library/?id=1736618040909151</t>
        </is>
      </c>
    </row>
    <row r="279">
      <c r="A279" s="7" t="n">
        <v>258</v>
      </c>
      <c r="B279" s="7" t="inlineStr">
        <is>
          <t>360Realtors</t>
        </is>
      </c>
      <c r="C279" s="7" t="inlineStr">
        <is>
          <t>Real Estate Developer (Location-Piggyback)</t>
        </is>
      </c>
      <c r="D279" s="7" t="inlineStr">
        <is>
          <t>Seasons Mall Pune</t>
        </is>
      </c>
      <c r="E279" s="7" t="inlineStr">
        <is>
          <t>Pune</t>
        </is>
      </c>
      <c r="F279" s="7" t="inlineStr">
        <is>
          <t>off</t>
        </is>
      </c>
      <c r="G279" s="7" t="inlineStr">
        <is>
          <t>26 Aug 2026</t>
        </is>
      </c>
      <c r="H279" s="7" t="n">
        <v>7</v>
      </c>
      <c r="I279" s="7" t="inlineStr">
        <is>
          <t>Fresh Test (&lt;30d)</t>
        </is>
      </c>
      <c r="J279" s="7" t="inlineStr">
        <is>
          <t>Learn More</t>
        </is>
      </c>
      <c r="K279" s="8" t="inlineStr">
        <is>
          <t>🌆 𝟖𝟓𝟎 𝐌𝐞𝐭𝐞𝐫𝐬 𝐅𝐫𝐨𝐦 𝐒𝐞𝐚𝐬𝐨𝐧𝐬 𝐌𝐚𝐥𝐥.</t>
        </is>
      </c>
      <c r="L279" s="8" t="inlineStr">
        <is>
          <t>🌆 𝟖𝟓𝟎 𝐌𝐞𝐭𝐞𝐫𝐬 𝐅𝐫𝐨𝐦 𝐒𝐞𝐚𝐬𝐨𝐧𝐬 𝐌𝐚𝐥𝐥. 𝐌𝐢𝐧𝐮𝐭𝐞𝐬 𝐅𝐫𝐨𝐦 𝐊𝐚𝐥𝐲𝐚𝐧𝐢 𝐍𝐚𝐠𝐚𝐫 &amp; 𝐊𝐨𝐫𝐞𝐠𝐚𝐨𝐧 𝐏𝐚𝐫𝐤'𝐬 𝐄𝐧𝐞𝐫𝐠𝐲. 𝐆𝐨𝐝𝐫𝐞𝐣 𝐄𝐥𝐚𝐫𝐢𝐬 Is Centrally Located In Mundhwa, 𝐂𝐥𝐨𝐬𝐞 𝐓𝐨 𝐏𝐮𝐧𝐞’𝐬 𝐁𝐞𝐬𝐭 𝐃𝐢𝐧𝐢𝐧𝐠, 𝐒𝐡𝐨𝐩𝐩𝐢𝐧𝐠 &amp; 𝐒𝐨𝐜𝐢𝐚𝐥 𝐒𝐩𝐨𝐭𝐬.  ✅ 2, 3 &amp; 4 BHK | Sizes On Request ✅ Seasons Mall – 3 Mins ✅ Kalyani Nagar Metro Station – 10 Mins ✅ Eon IT Park – 12 Mins  📍 ₹𝟏.𝟒𝟕 𝐂𝐫* | 𝐁𝐨𝐨𝐤 𝐀𝐭 𝐉𝐮𝐬𝐭 𝟏𝟎%  A Home This Central,</t>
        </is>
      </c>
      <c r="M279" s="7" t="inlineStr">
        <is>
          <t>https://www.facebook.com/ads/library/?id=2250165979169306</t>
        </is>
      </c>
    </row>
    <row r="280">
      <c r="A280" s="5" t="n">
        <v>259</v>
      </c>
      <c r="B280" s="5" t="inlineStr">
        <is>
          <t>Pune Realestate Investment</t>
        </is>
      </c>
      <c r="C280" s="5" t="inlineStr">
        <is>
          <t>Real Estate Developer (Location-Piggyback)</t>
        </is>
      </c>
      <c r="D280" s="5" t="inlineStr">
        <is>
          <t>Seasons Mall Pune</t>
        </is>
      </c>
      <c r="E280" s="5" t="inlineStr">
        <is>
          <t>Pune</t>
        </is>
      </c>
      <c r="F280" s="5" t="inlineStr">
        <is>
          <t>LIVE</t>
        </is>
      </c>
      <c r="G280" s="5" t="inlineStr">
        <is>
          <t>26 Aug 2026</t>
        </is>
      </c>
      <c r="H280" s="5" t="n">
        <v>7</v>
      </c>
      <c r="I280" s="5" t="inlineStr">
        <is>
          <t>Fresh Test (&lt;30d)</t>
        </is>
      </c>
      <c r="J280" s="5" t="inlineStr">
        <is>
          <t>Learn More</t>
        </is>
      </c>
      <c r="K280" s="6" t="inlineStr">
        <is>
          <t>🏡 A Premium Address Designed for Elevated Living  Discover spacious 3, 3.5 &amp; 4 BHK Duplex Residences + Exclusive Penthou</t>
        </is>
      </c>
      <c r="L280" s="6" t="inlineStr">
        <is>
          <t>🏡 A Premium Address Designed for Elevated Living  Discover spacious 3, 3.5 &amp; 4 BHK Duplex Residences + Exclusive Penthouses in Magarpatta.  ✨ Starting from ₹2.20 Cr* 📐 Spacious layouts from 1270 – 2244 Sq. Ft.  🌿 80% Open Spaces 🏊 Rooftop Clubhouse &amp; Premium Gymnasium 🌅 Expansive Private Decks with Scenic Views 🎯 Kids’ Play Areas &amp; Lifestyle Amenities 📍 Prime Magarpatta Location | Near Seasons Mall  Experience a home designed around space, comfort and a premium lifestyle.  👉 Limited inve</t>
        </is>
      </c>
      <c r="M280" s="5" t="inlineStr">
        <is>
          <t>https://www.facebook.com/ads/library/?id=2610809126016894</t>
        </is>
      </c>
    </row>
    <row r="281">
      <c r="A281" s="7" t="n">
        <v>260</v>
      </c>
      <c r="B281" s="7" t="inlineStr">
        <is>
          <t>YOOUbypng</t>
        </is>
      </c>
      <c r="C281" s="7" t="inlineStr">
        <is>
          <t>Other Advertiser (Event / Service / Direct-to-Consumer)</t>
        </is>
      </c>
      <c r="D281" s="7" t="inlineStr">
        <is>
          <t>Amanora Mall Pune</t>
        </is>
      </c>
      <c r="E281" s="7" t="inlineStr">
        <is>
          <t>Pune</t>
        </is>
      </c>
      <c r="F281" s="7" t="inlineStr">
        <is>
          <t>LIVE</t>
        </is>
      </c>
      <c r="G281" s="7" t="inlineStr">
        <is>
          <t>26 Aug 2026</t>
        </is>
      </c>
      <c r="H281" s="7" t="n">
        <v>7</v>
      </c>
      <c r="I281" s="7" t="inlineStr">
        <is>
          <t>Fresh Test (&lt;30d)</t>
        </is>
      </c>
      <c r="J281" s="7" t="inlineStr">
        <is>
          <t>Learn More</t>
        </is>
      </c>
      <c r="K281" s="8" t="inlineStr">
        <is>
          <t>Meet my personalities.</t>
        </is>
      </c>
      <c r="L281" s="8" t="inlineStr">
        <is>
          <t>Meet my personalities. They all have opinions on jewellery 😌✨  The bold one wants a statement. The effortless one wants something light. The elegant one? She knows exactly what she wants.  Good thing we found a place that gets them all 💫  YOOU by PNG Jewellers, where every version of YOU gets to have her moment.  📍 Shop No. 18, First, Shree Nagari Society West-Block, Amanora Mall, Mundwa-Kharadi Rd, Hadapsar, Pune, Maharashtra 411028  (Near Balgandharava, JM Road | West Block, Amanora Mall |</t>
        </is>
      </c>
      <c r="M281" s="7" t="inlineStr">
        <is>
          <t>https://www.facebook.com/ads/library/?id=1808959906942356</t>
        </is>
      </c>
    </row>
    <row r="282">
      <c r="A282" s="5" t="n">
        <v>261</v>
      </c>
      <c r="B282" s="5" t="inlineStr">
        <is>
          <t>Mundhwa New Launch</t>
        </is>
      </c>
      <c r="C282" s="5" t="inlineStr">
        <is>
          <t>Real Estate Developer (Location-Piggyback)</t>
        </is>
      </c>
      <c r="D282" s="5" t="inlineStr">
        <is>
          <t>Amanora Mall Pune</t>
        </is>
      </c>
      <c r="E282" s="5" t="inlineStr">
        <is>
          <t>Pune</t>
        </is>
      </c>
      <c r="F282" s="5" t="inlineStr">
        <is>
          <t>LIVE</t>
        </is>
      </c>
      <c r="G282" s="5" t="inlineStr">
        <is>
          <t>26 Aug 2026</t>
        </is>
      </c>
      <c r="H282" s="5" t="n">
        <v>7</v>
      </c>
      <c r="I282" s="5" t="inlineStr">
        <is>
          <t>Fresh Test (&lt;30d)</t>
        </is>
      </c>
      <c r="J282" s="5" t="inlineStr">
        <is>
          <t>Learn More</t>
        </is>
      </c>
      <c r="K282" s="6" t="inlineStr">
        <is>
          <t>Platina Collection 3 BHK in Keshavnagar - Mundhwa  ➦ Super Spacious Layout ➦ Few mins from Seasons Mall, Amanora, Phoeni</t>
        </is>
      </c>
      <c r="L282" s="6" t="inlineStr">
        <is>
          <t>Platina Collection 3 BHK in Keshavnagar - Mundhwa  ➦ Super Spacious Layout ➦ Few mins from Seasons Mall, Amanora, Phoenix Marketcity and IT hubs like Magarpatta &amp; EON IT Parks ➦ Modular Kitchen + Chimney + Hob ➦ Fully Automated Home ➦ Walk-in Wardrobe ➦ Designer CP Fitting ➦ Marble Style Designer Tile  RERA No. - P52100080608 *T&amp;C Apply 0:00 / 1:33 ​ Active</t>
        </is>
      </c>
      <c r="M282" s="5" t="inlineStr">
        <is>
          <t>https://www.facebook.com/ads/library/?id=2272428736824510</t>
        </is>
      </c>
    </row>
    <row r="283">
      <c r="A283" s="7" t="n">
        <v>262</v>
      </c>
      <c r="B283" s="7" t="inlineStr">
        <is>
          <t>Mundhwa New Launch</t>
        </is>
      </c>
      <c r="C283" s="7" t="inlineStr">
        <is>
          <t>Real Estate Developer (Location-Piggyback)</t>
        </is>
      </c>
      <c r="D283" s="7" t="inlineStr">
        <is>
          <t>Amanora Mall Pune</t>
        </is>
      </c>
      <c r="E283" s="7" t="inlineStr">
        <is>
          <t>Pune</t>
        </is>
      </c>
      <c r="F283" s="7" t="inlineStr">
        <is>
          <t>LIVE</t>
        </is>
      </c>
      <c r="G283" s="7" t="inlineStr">
        <is>
          <t>26 Aug 2026</t>
        </is>
      </c>
      <c r="H283" s="7" t="n">
        <v>7</v>
      </c>
      <c r="I283" s="7" t="inlineStr">
        <is>
          <t>Fresh Test (&lt;30d)</t>
        </is>
      </c>
      <c r="J283" s="7" t="inlineStr">
        <is>
          <t>Learn More</t>
        </is>
      </c>
      <c r="K283" s="8" t="inlineStr">
        <is>
          <t>Platina Collection 3 BHK in Keshavnagar - Mundhwa  ➦ Super Spacious Layout ➦ Few mins from Seasons Mall, Amanora, Phoeni</t>
        </is>
      </c>
      <c r="L283" s="8" t="inlineStr">
        <is>
          <t>Platina Collection 3 BHK in Keshavnagar - Mundhwa  ➦ Super Spacious Layout ➦ Few mins from Seasons Mall, Amanora, Phoenix Marketcity and IT hubs like Magarpatta &amp; EON IT Parks ➦ Modular Kitchen + Chimney + Hob ➦ Fully Automated Home ➦ Walk-in Wardrobe ➦ Designer CP Fitting ➦ Marble Style Designer Tile  RERA No. - P52100080608 *T&amp;C Apply 0:00 / 1:33 ​ Active</t>
        </is>
      </c>
      <c r="M283" s="7" t="inlineStr">
        <is>
          <t>https://www.facebook.com/ads/library/?id=1079962464509887</t>
        </is>
      </c>
    </row>
    <row r="284">
      <c r="A284" s="5" t="n">
        <v>263</v>
      </c>
      <c r="B284" s="5" t="inlineStr">
        <is>
          <t>Mundhwa New Launch</t>
        </is>
      </c>
      <c r="C284" s="5" t="inlineStr">
        <is>
          <t>Real Estate Developer (Location-Piggyback)</t>
        </is>
      </c>
      <c r="D284" s="5" t="inlineStr">
        <is>
          <t>Amanora Mall Pune</t>
        </is>
      </c>
      <c r="E284" s="5" t="inlineStr">
        <is>
          <t>Pune</t>
        </is>
      </c>
      <c r="F284" s="5" t="inlineStr">
        <is>
          <t>LIVE</t>
        </is>
      </c>
      <c r="G284" s="5" t="inlineStr">
        <is>
          <t>26 Aug 2026</t>
        </is>
      </c>
      <c r="H284" s="5" t="n">
        <v>7</v>
      </c>
      <c r="I284" s="5" t="inlineStr">
        <is>
          <t>Fresh Test (&lt;30d)</t>
        </is>
      </c>
      <c r="J284" s="5" t="inlineStr">
        <is>
          <t>Learn More</t>
        </is>
      </c>
      <c r="K284" s="6" t="inlineStr">
        <is>
          <t xml:space="preserve">Platina Collection 3 BHK in Keshavnagar - Mundhwa  *Show Flat for representation purpose only.Please fill form for show </t>
        </is>
      </c>
      <c r="L284" s="6" t="inlineStr">
        <is>
          <t>Platina Collection 3 BHK in Keshavnagar - Mundhwa  *Show Flat for representation purpose only.Please fill form for show flat tour.  ➦ Super Spacious Layout ➦ Few mins from Seasons Mall, Amanora, Phoenix Marketcity and IT hubs like Magarpatta &amp; EON IT Parks ➦ Modular Kitchen + Chimney + Hob ➦ Fully Automated Home ➦ Walk-in Wardrobe ➦ Designer CP Fitting ➦ Marble Style Designer Tile  RERA No. - P52100080608 *T&amp;C Apply 0:00 / 1:28 ​ Active</t>
        </is>
      </c>
      <c r="M284" s="5" t="inlineStr">
        <is>
          <t>https://www.facebook.com/ads/library/?id=1089615190098290</t>
        </is>
      </c>
    </row>
    <row r="285">
      <c r="A285" s="7" t="n">
        <v>264</v>
      </c>
      <c r="B285" s="7" t="inlineStr">
        <is>
          <t>Blackberrys Menswear</t>
        </is>
      </c>
      <c r="C285" s="7" t="inlineStr">
        <is>
          <t>Other Advertiser (Event / Service / Direct-to-Consumer)</t>
        </is>
      </c>
      <c r="D285" s="7" t="inlineStr">
        <is>
          <t>Nexus Hyderabad Mall</t>
        </is>
      </c>
      <c r="E285" s="7" t="inlineStr">
        <is>
          <t>Hyderabad</t>
        </is>
      </c>
      <c r="F285" s="7" t="inlineStr">
        <is>
          <t>off</t>
        </is>
      </c>
      <c r="G285" s="7" t="inlineStr">
        <is>
          <t>26 Aug 2026</t>
        </is>
      </c>
      <c r="H285" s="7" t="n">
        <v>7</v>
      </c>
      <c r="I285" s="7" t="inlineStr">
        <is>
          <t>Fresh Test (&lt;30d)</t>
        </is>
      </c>
      <c r="J285" s="7" t="inlineStr">
        <is>
          <t>Shop Now</t>
        </is>
      </c>
      <c r="K285" s="8" t="inlineStr">
        <is>
          <t>Introducing WIP, Winning in Progress, created for those who know that every milestone is simply the beginning of the nex</t>
        </is>
      </c>
      <c r="L285" s="8" t="inlineStr">
        <is>
          <t>Introducing WIP, Winning in Progress, created for those who know that every milestone is simply the beginning of the next.  Now Live at your nearest Blackberrys Store. Explore Blackberrys New AW26 Collection</t>
        </is>
      </c>
      <c r="M285" s="7" t="inlineStr">
        <is>
          <t>https://www.facebook.com/ads/library/?id=1389851686604560</t>
        </is>
      </c>
    </row>
    <row r="286">
      <c r="A286" s="5" t="n">
        <v>265</v>
      </c>
      <c r="B286" s="5" t="inlineStr">
        <is>
          <t>Housiey</t>
        </is>
      </c>
      <c r="C286" s="5" t="inlineStr">
        <is>
          <t>Real Estate Developer (Location-Piggyback)</t>
        </is>
      </c>
      <c r="D286" s="5" t="inlineStr">
        <is>
          <t>Nexus Hyderabad Mall</t>
        </is>
      </c>
      <c r="E286" s="5" t="inlineStr">
        <is>
          <t>Hyderabad</t>
        </is>
      </c>
      <c r="F286" s="5" t="inlineStr">
        <is>
          <t>off</t>
        </is>
      </c>
      <c r="G286" s="5" t="inlineStr">
        <is>
          <t>26 Aug 2026</t>
        </is>
      </c>
      <c r="H286" s="5" t="n">
        <v>7</v>
      </c>
      <c r="I286" s="5" t="inlineStr">
        <is>
          <t>Fresh Test (&lt;30d)</t>
        </is>
      </c>
      <c r="J286" s="5" t="inlineStr">
        <is>
          <t>Learn More</t>
        </is>
      </c>
      <c r="K286" s="6" t="inlineStr">
        <is>
          <t>Lodha Group New Launch "Lodha Meridian", at Kukatpally, Hyderabad ✅ 4.5 Acres - 5 Towers - 34 Floors ✅ 2/3 BHK - ₹1.44 C</t>
        </is>
      </c>
      <c r="L286" s="6" t="inlineStr">
        <is>
          <t>Lodha Group New Launch "Lodha Meridian", at Kukatpally, Hyderabad ✅ 4.5 Acres - 5 Towers - 34 Floors ✅ 2/3 BHK - ₹1.44 Cr Onwards ✅ JNTU Metro Stn - 5min | Nexus Mall - 5min ✅ Ready to Move In   ✅ Exclusive Launch Discounts ✅ 50+ Luxurious Amenities ✅ Housiey Rera No. A39300003703 FB.ME Download E-Brochure Exclusive Pre-Launch Discounts Download ​ Inactive</t>
        </is>
      </c>
      <c r="M286" s="5" t="inlineStr">
        <is>
          <t>https://www.facebook.com/ads/library/?id=1971322063568261</t>
        </is>
      </c>
    </row>
    <row r="287">
      <c r="A287" s="7" t="n">
        <v>266</v>
      </c>
      <c r="B287" s="7" t="inlineStr">
        <is>
          <t>Shourya's Hospital</t>
        </is>
      </c>
      <c r="C287" s="7" t="inlineStr">
        <is>
          <t>Other Advertiser (Event / Service / Direct-to-Consumer)</t>
        </is>
      </c>
      <c r="D287" s="7" t="inlineStr">
        <is>
          <t>Nexus Hyderabad Mall</t>
        </is>
      </c>
      <c r="E287" s="7" t="inlineStr">
        <is>
          <t>Hyderabad</t>
        </is>
      </c>
      <c r="F287" s="7" t="inlineStr">
        <is>
          <t>LIVE</t>
        </is>
      </c>
      <c r="G287" s="7" t="inlineStr">
        <is>
          <t>26 Aug 2026</t>
        </is>
      </c>
      <c r="H287" s="7" t="n">
        <v>7</v>
      </c>
      <c r="I287" s="7" t="inlineStr">
        <is>
          <t>Fresh Test (&lt;30d)</t>
        </is>
      </c>
      <c r="J287" s="7" t="inlineStr">
        <is>
          <t>Learn More</t>
        </is>
      </c>
      <c r="K287" s="8" t="inlineStr">
        <is>
          <t>Dr.</t>
        </is>
      </c>
      <c r="L287" s="8" t="inlineStr">
        <is>
          <t>Dr. Jyothi’s expertise, compassion, and constant support make everyone's fertility journey feel easier and more hopeful. ❤️  🌟 𝐖𝐡𝐲 𝐜𝐡𝐨𝐨𝐬𝐞 𝐮𝐬? ✨ Advanced IVF, ICSI &amp; ART when needed ✨ Transparent pricing – no hidden surprises ✨ Ethical, step-by-step fertility care (no unnecessary IVF, no donor eggs) ✨ World-class facilities with hospital-level safety  💡 And here’s the best part — despite all this, 𝐨𝐮𝐫 𝐩𝐫𝐢𝐜𝐞𝐬 𝐚𝐫𝐞 𝐥𝐨𝐰𝐞𝐫 𝐭𝐡𝐚𝐧 𝐦𝐨𝐬𝐭 𝐡𝐨𝐬𝐩𝐢𝐭𝐚𝐥𝐬 &amp; 𝐟𝐞𝐫𝐭𝐢</t>
        </is>
      </c>
      <c r="M287" s="7" t="inlineStr">
        <is>
          <t>https://www.facebook.com/ads/library/?id=826310847176971</t>
        </is>
      </c>
    </row>
    <row r="288">
      <c r="A288" s="5" t="n">
        <v>267</v>
      </c>
      <c r="B288" s="5" t="inlineStr">
        <is>
          <t>Shourya's Hospital</t>
        </is>
      </c>
      <c r="C288" s="5" t="inlineStr">
        <is>
          <t>Other Advertiser (Event / Service / Direct-to-Consumer)</t>
        </is>
      </c>
      <c r="D288" s="5" t="inlineStr">
        <is>
          <t>Nexus Hyderabad Mall</t>
        </is>
      </c>
      <c r="E288" s="5" t="inlineStr">
        <is>
          <t>Hyderabad</t>
        </is>
      </c>
      <c r="F288" s="5" t="inlineStr">
        <is>
          <t>LIVE</t>
        </is>
      </c>
      <c r="G288" s="5" t="inlineStr">
        <is>
          <t>26 Aug 2026</t>
        </is>
      </c>
      <c r="H288" s="5" t="n">
        <v>7</v>
      </c>
      <c r="I288" s="5" t="inlineStr">
        <is>
          <t>Fresh Test (&lt;30d)</t>
        </is>
      </c>
      <c r="J288" s="5" t="inlineStr">
        <is>
          <t>Learn More</t>
        </is>
      </c>
      <c r="K288" s="6" t="inlineStr">
        <is>
          <t>Thank you for trusting Shourya's Hospital with your fertility journey and for sharing such a heartfelt testimonial.</t>
        </is>
      </c>
      <c r="L288" s="6" t="inlineStr">
        <is>
          <t>Thank you for trusting Shourya's Hospital with your fertility journey and for sharing such a heartfelt testimonial.  📍 Visit Us at:  Shourya's Hospital,  Opp Exit Gate of Nexus Mall, Phase 6, KPHB, Kukatpally, Hyderabad 📞 Call/WhatsApp: 950 26 36 153  🌐 https://shouryas.hospital/  ✨ Shourya’s Hospital – . ✨Trusted Fertility Care and Beyond. Turning Dreams into Families!  #IVFHyderabad #HyderabadHospitals #IVFSuccess #NoDonorCases #maternityoffer 0:00 / 0:34 ​ Active</t>
        </is>
      </c>
      <c r="M288" s="5" t="inlineStr">
        <is>
          <t>https://www.facebook.com/ads/library/?id=28558696167048308</t>
        </is>
      </c>
    </row>
    <row r="289">
      <c r="A289" s="7" t="n">
        <v>268</v>
      </c>
      <c r="B289" s="7" t="inlineStr">
        <is>
          <t>Shourya's Hospital</t>
        </is>
      </c>
      <c r="C289" s="7" t="inlineStr">
        <is>
          <t>Other Advertiser (Event / Service / Direct-to-Consumer)</t>
        </is>
      </c>
      <c r="D289" s="7" t="inlineStr">
        <is>
          <t>Nexus Hyderabad Mall</t>
        </is>
      </c>
      <c r="E289" s="7" t="inlineStr">
        <is>
          <t>Hyderabad</t>
        </is>
      </c>
      <c r="F289" s="7" t="inlineStr">
        <is>
          <t>off</t>
        </is>
      </c>
      <c r="G289" s="7" t="inlineStr">
        <is>
          <t>26 Aug 2026</t>
        </is>
      </c>
      <c r="H289" s="7" t="n">
        <v>7</v>
      </c>
      <c r="I289" s="7" t="inlineStr">
        <is>
          <t>Fresh Test (&lt;30d)</t>
        </is>
      </c>
      <c r="J289" s="7" t="inlineStr">
        <is>
          <t>Learn More</t>
        </is>
      </c>
      <c r="K289" s="8" t="inlineStr">
        <is>
          <t>Your love, trust, and happiness inspire us to keep doing what we do with care and compassion.</t>
        </is>
      </c>
      <c r="L289" s="8" t="inlineStr">
        <is>
          <t>Your love, trust, and happiness inspire us to keep doing what we do with care and compassion. 🌸  Thank you for choosing Dr. G. S. K. Jyothi Reddy at Shourya's Hospital.  🌟 𝐖𝐡𝐲 𝐜𝐡𝐨𝐨𝐬𝐞 𝐮𝐬? ✨ Advanced IVF, ICSI &amp; ART when needed ✨ Transparent pricing – no hidden surprises ✨ Ethical, step-by-step fertility care (no unnecessary IVF, no donor eggs) ✨ World-class facilities with hospital-level safety  💡 And here’s the best part — despite all this, 𝐨𝐮𝐫 𝐩𝐫𝐢𝐜𝐞𝐬 𝐚𝐫𝐞 𝐥𝐨𝐰𝐞𝐫 𝐭�</t>
        </is>
      </c>
      <c r="M289" s="7" t="inlineStr">
        <is>
          <t>https://www.facebook.com/ads/library/?id=3189747077881361</t>
        </is>
      </c>
    </row>
    <row r="290">
      <c r="A290" s="5" t="n">
        <v>269</v>
      </c>
      <c r="B290" s="5" t="inlineStr">
        <is>
          <t>Blackberrys Menswear</t>
        </is>
      </c>
      <c r="C290" s="5" t="inlineStr">
        <is>
          <t>Other Advertiser (Event / Service / Direct-to-Consumer)</t>
        </is>
      </c>
      <c r="D290" s="5" t="inlineStr">
        <is>
          <t>Sarath City Capital Mall</t>
        </is>
      </c>
      <c r="E290" s="5" t="inlineStr">
        <is>
          <t>Hyderabad</t>
        </is>
      </c>
      <c r="F290" s="5" t="inlineStr">
        <is>
          <t>LIVE</t>
        </is>
      </c>
      <c r="G290" s="5" t="inlineStr">
        <is>
          <t>26 Aug 2026</t>
        </is>
      </c>
      <c r="H290" s="5" t="n">
        <v>7</v>
      </c>
      <c r="I290" s="5" t="inlineStr">
        <is>
          <t>Fresh Test (&lt;30d)</t>
        </is>
      </c>
      <c r="J290" s="5" t="inlineStr">
        <is>
          <t>Shop Now</t>
        </is>
      </c>
      <c r="K290" s="6" t="inlineStr">
        <is>
          <t>Introducing WIP, Winning in Progress, created for those who know that every milestone is simply the beginning of the nex</t>
        </is>
      </c>
      <c r="L290" s="6" t="inlineStr">
        <is>
          <t>Introducing WIP, Winning in Progress, created for those who know that every milestone is simply the beginning of the next.  Now Live at your nearest Blackberrys Store. Explore Blackberrys New AW26 Collection</t>
        </is>
      </c>
      <c r="M290" s="5" t="inlineStr">
        <is>
          <t>https://www.facebook.com/ads/library/?id=2926296931045418</t>
        </is>
      </c>
    </row>
    <row r="291">
      <c r="A291" s="7" t="n">
        <v>270</v>
      </c>
      <c r="B291" s="7" t="inlineStr">
        <is>
          <t>Krishnapatnam</t>
        </is>
      </c>
      <c r="C291" s="7" t="inlineStr">
        <is>
          <t>Other Advertiser (Event / Service / Direct-to-Consumer)</t>
        </is>
      </c>
      <c r="D291" s="7" t="inlineStr">
        <is>
          <t>Sarath City Capital Mall</t>
        </is>
      </c>
      <c r="E291" s="7" t="inlineStr">
        <is>
          <t>Hyderabad</t>
        </is>
      </c>
      <c r="F291" s="7" t="inlineStr">
        <is>
          <t>LIVE</t>
        </is>
      </c>
      <c r="G291" s="7" t="inlineStr">
        <is>
          <t>26 Aug 2026</t>
        </is>
      </c>
      <c r="H291" s="7" t="n">
        <v>7</v>
      </c>
      <c r="I291" s="7" t="inlineStr">
        <is>
          <t>Fresh Test (&lt;30d)</t>
        </is>
      </c>
      <c r="J291" s="7" t="inlineStr">
        <is>
          <t>Learn More</t>
        </is>
      </c>
      <c r="K291" s="8" t="inlineStr">
        <is>
          <t>Some flavours don’t just satisfy a craving.</t>
        </is>
      </c>
      <c r="L291" s="8" t="inlineStr">
        <is>
          <t>Some flavours don’t just satisfy a craving. They take you home. ❤️  From the aroma of spices filling our grandmothers’ kitchens to the flavours that bring everyone together around one table, Telugu food has always been about more than just a meal.  At Krishnapatnam, we bring that same warmth, tradition, and love for food to your table — serving flavours that feel like home, and leave you wanting to come back for more.  Our Branches: JUBLIEE HILLS: 9169695566 NEXUS MALL: 9169693344 AMB SARATH CIT</t>
        </is>
      </c>
      <c r="M291" s="7" t="inlineStr">
        <is>
          <t>https://www.facebook.com/ads/library/?id=1308235531232118</t>
        </is>
      </c>
    </row>
    <row r="292">
      <c r="A292" s="5" t="n">
        <v>271</v>
      </c>
      <c r="B292" s="5" t="inlineStr">
        <is>
          <t>Top Launch Properties in Hyderabad</t>
        </is>
      </c>
      <c r="C292" s="5" t="inlineStr">
        <is>
          <t>Real Estate Developer (Location-Piggyback)</t>
        </is>
      </c>
      <c r="D292" s="5" t="inlineStr">
        <is>
          <t>Sarath City Capital Mall</t>
        </is>
      </c>
      <c r="E292" s="5" t="inlineStr">
        <is>
          <t>Hyderabad</t>
        </is>
      </c>
      <c r="F292" s="5" t="inlineStr">
        <is>
          <t>LIVE</t>
        </is>
      </c>
      <c r="G292" s="5" t="inlineStr">
        <is>
          <t>26 Aug 2026</t>
        </is>
      </c>
      <c r="H292" s="5" t="n">
        <v>7</v>
      </c>
      <c r="I292" s="5" t="inlineStr">
        <is>
          <t>Fresh Test (&lt;30d)</t>
        </is>
      </c>
      <c r="J292" s="5" t="inlineStr">
        <is>
          <t>Learn More</t>
        </is>
      </c>
      <c r="K292" s="6" t="inlineStr">
        <is>
          <t>🏙️ Auro Sapphire – Ultra-Premium 3 &amp; 4 BHK High-Rise Apartments in Kondapur, Hyderabad  Only 6-8 homes per floor, expans</t>
        </is>
      </c>
      <c r="L292" s="6" t="inlineStr">
        <is>
          <t>🏙️ Auro Sapphire – Ultra-Premium 3 &amp; 4 BHK High-Rise Apartments in Kondapur, Hyderabad  Only 6-8 homes per floor, expansive balconies, and a 50,000 sq.ft clubhouse — Auro Sapphire by Auro Realty brings rare privacy and scale to Kondapur, West Hyderabad's sought-after IT and residential hub. 4 iconic towers rising up to 47 floors, ~1,300 premium residences across ~8 acres.  📍 Location: Kondapur, Hyderabad 🚦 Status: New Launch  🏗️ Project Highlights: 🏢 4 iconic towers, up to 47 floors 🏠 ~1,3</t>
        </is>
      </c>
      <c r="M292" s="5" t="inlineStr">
        <is>
          <t>https://www.facebook.com/ads/library/?id=2266573807216340</t>
        </is>
      </c>
    </row>
    <row r="293">
      <c r="A293" s="7" t="n">
        <v>272</v>
      </c>
      <c r="B293" s="7" t="inlineStr">
        <is>
          <t>Top Launch Properties in Hyderabad</t>
        </is>
      </c>
      <c r="C293" s="7" t="inlineStr">
        <is>
          <t>Real Estate Developer (Location-Piggyback)</t>
        </is>
      </c>
      <c r="D293" s="7" t="inlineStr">
        <is>
          <t>Sarath City Capital Mall</t>
        </is>
      </c>
      <c r="E293" s="7" t="inlineStr">
        <is>
          <t>Hyderabad</t>
        </is>
      </c>
      <c r="F293" s="7" t="inlineStr">
        <is>
          <t>LIVE</t>
        </is>
      </c>
      <c r="G293" s="7" t="inlineStr">
        <is>
          <t>26 Aug 2026</t>
        </is>
      </c>
      <c r="H293" s="7" t="n">
        <v>7</v>
      </c>
      <c r="I293" s="7" t="inlineStr">
        <is>
          <t>Fresh Test (&lt;30d)</t>
        </is>
      </c>
      <c r="J293" s="7" t="inlineStr">
        <is>
          <t>Learn More</t>
        </is>
      </c>
      <c r="K293" s="8" t="inlineStr">
        <is>
          <t>🏙️ Auro Sapphire – Ultra-Premium 3 &amp; 4 BHK High-Rise Apartments in Kondapur, Hyderabad  Only 6-8 homes per floor, expans</t>
        </is>
      </c>
      <c r="L293" s="8" t="inlineStr">
        <is>
          <t>🏙️ Auro Sapphire – Ultra-Premium 3 &amp; 4 BHK High-Rise Apartments in Kondapur, Hyderabad  Only 6-8 homes per floor, expansive balconies, and a 50,000 sq.ft clubhouse — Auro Sapphire by Auro Realty brings rare privacy and scale to Kondapur, West Hyderabad's sought-after IT and residential hub. 4 iconic towers rising up to 47 floors, ~1,300 premium residences across ~8 acres.  📍 Location: Kondapur, Hyderabad 🚦 Status: New Launch  🏗️ Project Highlights: 🏢 4 iconic towers, up to 47 floors 🏠 ~1,3</t>
        </is>
      </c>
      <c r="M293" s="7" t="inlineStr">
        <is>
          <t>https://www.facebook.com/ads/library/?id=2022130518423753</t>
        </is>
      </c>
    </row>
    <row r="294">
      <c r="A294" s="5" t="n">
        <v>273</v>
      </c>
      <c r="B294" s="5" t="inlineStr">
        <is>
          <t>Top Launch Properties in Hyderabad</t>
        </is>
      </c>
      <c r="C294" s="5" t="inlineStr">
        <is>
          <t>Real Estate Developer (Location-Piggyback)</t>
        </is>
      </c>
      <c r="D294" s="5" t="inlineStr">
        <is>
          <t>Sarath City Capital Mall</t>
        </is>
      </c>
      <c r="E294" s="5" t="inlineStr">
        <is>
          <t>Hyderabad</t>
        </is>
      </c>
      <c r="F294" s="5" t="inlineStr">
        <is>
          <t>off</t>
        </is>
      </c>
      <c r="G294" s="5" t="inlineStr">
        <is>
          <t>26 Aug 2026</t>
        </is>
      </c>
      <c r="H294" s="5" t="n">
        <v>7</v>
      </c>
      <c r="I294" s="5" t="inlineStr">
        <is>
          <t>Fresh Test (&lt;30d)</t>
        </is>
      </c>
      <c r="J294" s="5" t="inlineStr">
        <is>
          <t>Learn More</t>
        </is>
      </c>
      <c r="K294" s="6" t="inlineStr">
        <is>
          <t>🏙️ Auro Sapphire – Ultra-Premium 3 &amp; 4 BHK High-Rise Apartments in Kondapur, Hyderabad  Only 6-8 homes per floor, expans</t>
        </is>
      </c>
      <c r="L294" s="6" t="inlineStr">
        <is>
          <t>🏙️ Auro Sapphire – Ultra-Premium 3 &amp; 4 BHK High-Rise Apartments in Kondapur, Hyderabad  Only 6-8 homes per floor, expansive balconies, and a 50,000 sq.ft clubhouse — Auro Sapphire by Auro Realty brings rare privacy and scale to Kondapur, West Hyderabad's sought-after IT and residential hub. 4 iconic towers rising up to 47 floors, ~1,300 premium residences across ~8 acres.  📍 Location: Kondapur, Hyderabad 🚦 Status: New Launch  🏗️ Project Highlights: 🏢 4 iconic towers, up to 47 floors 🏠 ~1,3</t>
        </is>
      </c>
      <c r="M294" s="5" t="inlineStr">
        <is>
          <t>https://www.facebook.com/ads/library/?id=2472914223187578</t>
        </is>
      </c>
    </row>
    <row r="295">
      <c r="A295" s="7" t="n">
        <v>274</v>
      </c>
      <c r="B295" s="7" t="inlineStr">
        <is>
          <t>Samsung</t>
        </is>
      </c>
      <c r="C295" s="7" t="inlineStr">
        <is>
          <t>Other Advertiser (Event / Service / Direct-to-Consumer)</t>
        </is>
      </c>
      <c r="D295" s="7" t="inlineStr">
        <is>
          <t>Phoenix Marketcity Pune</t>
        </is>
      </c>
      <c r="E295" s="7" t="inlineStr">
        <is>
          <t>Pune</t>
        </is>
      </c>
      <c r="F295" s="7" t="inlineStr">
        <is>
          <t>LIVE</t>
        </is>
      </c>
      <c r="G295" s="7" t="inlineStr">
        <is>
          <t>27 Aug 2026</t>
        </is>
      </c>
      <c r="H295" s="7" t="n">
        <v>6</v>
      </c>
      <c r="I295" s="7" t="inlineStr">
        <is>
          <t>Fresh Test (&lt;30d)</t>
        </is>
      </c>
      <c r="J295" s="7" t="inlineStr">
        <is>
          <t>Sign Up</t>
        </is>
      </c>
      <c r="K295" s="8" t="inlineStr">
        <is>
          <t>Own the new Galaxy Watch Ultra2 built to keep up with every adventure and the new Galaxy Watch9 your everyday wellness c</t>
        </is>
      </c>
      <c r="L295" s="8" t="inlineStr">
        <is>
          <t>Own the new Galaxy Watch Ultra2 built to keep up with every adventure and the new Galaxy Watch9 your everyday wellness companion starting at ₹ 1417/month*. Visit Samsung Experience Store, Phoenix Marketcity, Pune. New Galaxy Watch9 Series Own now at Samsung Stores Sign Up ​ Active</t>
        </is>
      </c>
      <c r="M295" s="7" t="inlineStr">
        <is>
          <t>https://www.facebook.com/ads/library/?id=28903280705939407</t>
        </is>
      </c>
    </row>
    <row r="296">
      <c r="A296" s="5" t="n">
        <v>275</v>
      </c>
      <c r="B296" s="5" t="inlineStr">
        <is>
          <t>Project in Pune</t>
        </is>
      </c>
      <c r="C296" s="5" t="inlineStr">
        <is>
          <t>Real Estate Developer (Location-Piggyback)</t>
        </is>
      </c>
      <c r="D296" s="5" t="inlineStr">
        <is>
          <t>Phoenix Marketcity Pune</t>
        </is>
      </c>
      <c r="E296" s="5" t="inlineStr">
        <is>
          <t>Pune</t>
        </is>
      </c>
      <c r="F296" s="5" t="inlineStr">
        <is>
          <t>LIVE</t>
        </is>
      </c>
      <c r="G296" s="5" t="inlineStr">
        <is>
          <t>27 Aug 2026</t>
        </is>
      </c>
      <c r="H296" s="5" t="n">
        <v>6</v>
      </c>
      <c r="I296" s="5" t="inlineStr">
        <is>
          <t>Fresh Test (&lt;30d)</t>
        </is>
      </c>
      <c r="J296" s="5" t="inlineStr">
        <is>
          <t>Learn More</t>
        </is>
      </c>
      <c r="K296" s="6" t="inlineStr">
        <is>
          <t xml:space="preserve">Step Into Premium Living at Godrej Elaris ✨  Experience elevated urban living at Magarpatta Mundhwa, Pune, with premium </t>
        </is>
      </c>
      <c r="L296" s="6" t="inlineStr">
        <is>
          <t>Step Into Premium Living at Godrej Elaris ✨  Experience elevated urban living at Magarpatta Mundhwa, Pune, with premium 2, 3 &amp; 4 BHK residences designed around comfort, luxury and a modern lifestyle.  🏡 Starting from ₹1.47 Cr  📍 Prime Magarpatta–Mundhwa Location 🌿 12.8 Acres Premium Township 🏊 Lagoon Swimming Pool 🏋️ 10,000 Sq. Ft. Gym 🏢 1,00,000 Sq. Ft. Luxury Clubhouse ☕ Business Centre &amp; Café 🏟️ Sports Ground &amp; Indoor Sports Arena  Enjoy excellent connectivity to Pune Airport, Phoenix</t>
        </is>
      </c>
      <c r="M296" s="5" t="inlineStr">
        <is>
          <t>https://www.facebook.com/ads/library/?id=1076844311661815</t>
        </is>
      </c>
    </row>
    <row r="297">
      <c r="A297" s="7" t="n">
        <v>276</v>
      </c>
      <c r="B297" s="7" t="inlineStr">
        <is>
          <t>Pune New Property Launches</t>
        </is>
      </c>
      <c r="C297" s="7" t="inlineStr">
        <is>
          <t>Real Estate Developer (Location-Piggyback)</t>
        </is>
      </c>
      <c r="D297" s="7" t="inlineStr">
        <is>
          <t>Phoenix Marketcity Pune</t>
        </is>
      </c>
      <c r="E297" s="7" t="inlineStr">
        <is>
          <t>Pune</t>
        </is>
      </c>
      <c r="F297" s="7" t="inlineStr">
        <is>
          <t>off</t>
        </is>
      </c>
      <c r="G297" s="7" t="inlineStr">
        <is>
          <t>27 Aug 2026</t>
        </is>
      </c>
      <c r="H297" s="7" t="n">
        <v>6</v>
      </c>
      <c r="I297" s="7" t="inlineStr">
        <is>
          <t>Fresh Test (&lt;30d)</t>
        </is>
      </c>
      <c r="J297" s="7" t="inlineStr">
        <is>
          <t>Learn More</t>
        </is>
      </c>
      <c r="K297" s="8" t="inlineStr">
        <is>
          <t xml:space="preserve">🏡 Mantra Melange – Luxury 2 &amp; 3 BHK Apartments in Central Kharadi, Pune </t>
        </is>
      </c>
      <c r="L297" s="8" t="inlineStr">
        <is>
          <t>🏡 Mantra Melange – Luxury 2 &amp; 3 BHK Apartments in Central Kharadi, Pune | Starting ₹1.10 Cr*  2/3BHK Starting at just 1.10 Cr* Onwards  Visit Our Sample Flat Today! Schedule Now!  📐 Configurations &amp; Pricing: ✔ 2 BHK – 843–884 Sq.Ft. – ₹1.10–1.15 Cr* ✔ 3 BHK – 1098–1177 Sq.Ft. – ₹1.45–1.60 Cr*  📍 Prime Location – Kharadi, Pune: ✔ EON IT Park – ~10 mins ✔ World Trade Center (WTC) Pune – ~7 mins ✔ Cerebrum IT Park – ~10 mins ✔ Seasons Mall – ~5 mins ✔ Phoenix Marketcity – ~8 mins ✔ Viman Nagar /</t>
        </is>
      </c>
      <c r="M297" s="7" t="inlineStr">
        <is>
          <t>https://www.facebook.com/ads/library/?id=4579975018988382</t>
        </is>
      </c>
    </row>
    <row r="298">
      <c r="A298" s="5" t="n">
        <v>277</v>
      </c>
      <c r="B298" s="5" t="inlineStr">
        <is>
          <t>Pune New Property Launches</t>
        </is>
      </c>
      <c r="C298" s="5" t="inlineStr">
        <is>
          <t>Real Estate Developer (Location-Piggyback)</t>
        </is>
      </c>
      <c r="D298" s="5" t="inlineStr">
        <is>
          <t>Phoenix Marketcity Pune</t>
        </is>
      </c>
      <c r="E298" s="5" t="inlineStr">
        <is>
          <t>Pune</t>
        </is>
      </c>
      <c r="F298" s="5" t="inlineStr">
        <is>
          <t>off</t>
        </is>
      </c>
      <c r="G298" s="5" t="inlineStr">
        <is>
          <t>27 Aug 2026</t>
        </is>
      </c>
      <c r="H298" s="5" t="n">
        <v>6</v>
      </c>
      <c r="I298" s="5" t="inlineStr">
        <is>
          <t>Fresh Test (&lt;30d)</t>
        </is>
      </c>
      <c r="J298" s="5" t="inlineStr">
        <is>
          <t>Learn More</t>
        </is>
      </c>
      <c r="K298" s="6" t="inlineStr">
        <is>
          <t xml:space="preserve">🏡 Mantra Melange – Luxury 2 &amp; 3 BHK Apartments in Central Kharadi, Pune </t>
        </is>
      </c>
      <c r="L298" s="6" t="inlineStr">
        <is>
          <t>🏡 Mantra Melange – Luxury 2 &amp; 3 BHK Apartments in Central Kharadi, Pune | Starting ₹1.10 Cr*  2/3BHK Starting at just 1.10 Cr* Onwards  Visit Our Sample Flat Today! Schedule Now!  📐 Configurations &amp; Pricing: ✔ 2 BHK – 843–884 Sq.Ft. – ₹1.10–1.15 Cr* ✔ 3 BHK – 1098–1177 Sq.Ft. – ₹1.45–1.60 Cr*  📍 Prime Location – Kharadi, Pune: ✔ EON IT Park – ~10 mins ✔ World Trade Center (WTC) Pune – ~7 mins ✔ Cerebrum IT Park – ~10 mins ✔ Seasons Mall – ~5 mins ✔ Phoenix Marketcity – ~8 mins ✔ Viman Nagar /</t>
        </is>
      </c>
      <c r="M298" s="5" t="inlineStr">
        <is>
          <t>https://www.facebook.com/ads/library/?id=1317095053835240</t>
        </is>
      </c>
    </row>
    <row r="299">
      <c r="A299" s="7" t="n">
        <v>278</v>
      </c>
      <c r="B299" s="7" t="inlineStr">
        <is>
          <t>Samsung</t>
        </is>
      </c>
      <c r="C299" s="7" t="inlineStr">
        <is>
          <t>Other Advertiser (Event / Service / Direct-to-Consumer)</t>
        </is>
      </c>
      <c r="D299" s="7" t="inlineStr">
        <is>
          <t>Phoenix Mall of the Millennium Wakad</t>
        </is>
      </c>
      <c r="E299" s="7" t="inlineStr">
        <is>
          <t>Pune</t>
        </is>
      </c>
      <c r="F299" s="7" t="inlineStr">
        <is>
          <t>LIVE</t>
        </is>
      </c>
      <c r="G299" s="7" t="inlineStr">
        <is>
          <t>27 Aug 2026</t>
        </is>
      </c>
      <c r="H299" s="7" t="n">
        <v>6</v>
      </c>
      <c r="I299" s="7" t="inlineStr">
        <is>
          <t>Fresh Test (&lt;30d)</t>
        </is>
      </c>
      <c r="J299" s="7" t="inlineStr">
        <is>
          <t>Sign Up</t>
        </is>
      </c>
      <c r="K299" s="8" t="inlineStr">
        <is>
          <t>Own the new Galaxy Watch Ultra2 built to keep up with every adventure and the new Galaxy Watch9 your everyday wellness c</t>
        </is>
      </c>
      <c r="L299" s="8" t="inlineStr">
        <is>
          <t>Own the new Galaxy Watch Ultra2 built to keep up with every adventure and the new Galaxy Watch9 your everyday wellness companion starting at ₹ 1417/month*. Visit Samsung Experience Store, Phoenix Mall of the Millennium, Pune. New Galaxy Watch9 Series Own now at Samsung Stores Sign Up ​ Active</t>
        </is>
      </c>
      <c r="M299" s="7" t="inlineStr">
        <is>
          <t>https://www.facebook.com/ads/library/?id=3124696094588339</t>
        </is>
      </c>
    </row>
    <row r="300">
      <c r="A300" s="5" t="n">
        <v>279</v>
      </c>
      <c r="B300" s="5" t="inlineStr">
        <is>
          <t>Bharati Vidyapeeth / Bharati Vidyapeeth Deemed University</t>
        </is>
      </c>
      <c r="C300" s="5" t="inlineStr">
        <is>
          <t>Other Advertiser (Event / Service / Direct-to-Consumer)</t>
        </is>
      </c>
      <c r="D300" s="5" t="inlineStr">
        <is>
          <t>The Pavillion Pune</t>
        </is>
      </c>
      <c r="E300" s="5" t="inlineStr">
        <is>
          <t>Pune</t>
        </is>
      </c>
      <c r="F300" s="5" t="inlineStr">
        <is>
          <t>LIVE</t>
        </is>
      </c>
      <c r="G300" s="5" t="inlineStr">
        <is>
          <t>27 Aug 2026</t>
        </is>
      </c>
      <c r="H300" s="5" t="n">
        <v>6</v>
      </c>
      <c r="I300" s="5" t="inlineStr">
        <is>
          <t>Fresh Test (&lt;30d)</t>
        </is>
      </c>
      <c r="J300" s="5" t="inlineStr">
        <is>
          <t>Learn More</t>
        </is>
      </c>
      <c r="K300" s="6" t="inlineStr">
        <is>
          <t>College life, beyond the classroom.</t>
        </is>
      </c>
      <c r="L300" s="6" t="inlineStr">
        <is>
          <t>College life, beyond the classroom. 🎓  Discover the location advantages of Bharati Vidyapeeth, Erandwane Campus, Pune — from food and cafés to fitness, essentials, connectivity and places to unwind.  Admissions Open. Enquire Now. INSTAGRAM.COM A Campus in the Right Location Apply Now   INSTAGRAM.COM Easy Connectivity, Every Day Apply Now   INSTAGRAM.COM Your Campus, Your Lifestyle Apply Now   INSTAGRAM.COM Everyday Essentials, Close By Apply Now   INSTAGRAM.COM Your Favourite Spots Nearby Apply</t>
        </is>
      </c>
      <c r="M300" s="5" t="inlineStr">
        <is>
          <t>https://www.facebook.com/ads/library/?id=1045466078396732</t>
        </is>
      </c>
    </row>
    <row r="301">
      <c r="A301" s="7" t="n">
        <v>280</v>
      </c>
      <c r="B301" s="7" t="inlineStr">
        <is>
          <t>Gusto Cafe Pune</t>
        </is>
      </c>
      <c r="C301" s="7" t="inlineStr">
        <is>
          <t>Other Advertiser (Event / Service / Direct-to-Consumer)</t>
        </is>
      </c>
      <c r="D301" s="7" t="inlineStr">
        <is>
          <t>The Pavillion Pune</t>
        </is>
      </c>
      <c r="E301" s="7" t="inlineStr">
        <is>
          <t>Pune</t>
        </is>
      </c>
      <c r="F301" s="7" t="inlineStr">
        <is>
          <t>LIVE</t>
        </is>
      </c>
      <c r="G301" s="7" t="inlineStr">
        <is>
          <t>27 Aug 2026</t>
        </is>
      </c>
      <c r="H301" s="7" t="n">
        <v>6</v>
      </c>
      <c r="I301" s="7" t="inlineStr">
        <is>
          <t>Fresh Test (&lt;30d)</t>
        </is>
      </c>
      <c r="J301" s="7" t="inlineStr">
        <is>
          <t>Learn More</t>
        </is>
      </c>
      <c r="K301" s="8" t="inlineStr">
        <is>
          <t xml:space="preserve">New Cafe ALERT🚨  @gusto_dining_pune 📍Abja Pavillion, Seasons Rd, Sahil Park, Sanewadi, Aundh, Pune, Maharashtra 411067  </t>
        </is>
      </c>
      <c r="L301" s="8" t="inlineStr">
        <is>
          <t>New Cafe ALERT🚨  @gusto_dining_pune 📍Abja Pavillion, Seasons Rd, Sahil Park, Sanewadi, Aundh, Pune, Maharashtra 411067  • A cute date spot in Aundh with a super Instagram-worthy ambience – every corner is photogenic.  • From the best hot chocolate to breakfast and dinner, everything is sorted here.  • Perfect for dates, family gatherings, celebrations, or even coworking.  • Must-try: egg shakshuka, chicken caesar salad, and ham &amp; cheese sliders.  • Not just a café, it’s a whole vibe – visit Gu</t>
        </is>
      </c>
      <c r="M301" s="7" t="inlineStr">
        <is>
          <t>https://www.facebook.com/ads/library/?id=1025655337171353</t>
        </is>
      </c>
    </row>
    <row r="302">
      <c r="A302" s="5" t="n">
        <v>281</v>
      </c>
      <c r="B302" s="5" t="inlineStr">
        <is>
          <t>Gusto Cafe Pune</t>
        </is>
      </c>
      <c r="C302" s="5" t="inlineStr">
        <is>
          <t>Other Advertiser (Event / Service / Direct-to-Consumer)</t>
        </is>
      </c>
      <c r="D302" s="5" t="inlineStr">
        <is>
          <t>The Pavillion Pune</t>
        </is>
      </c>
      <c r="E302" s="5" t="inlineStr">
        <is>
          <t>Pune</t>
        </is>
      </c>
      <c r="F302" s="5" t="inlineStr">
        <is>
          <t>LIVE</t>
        </is>
      </c>
      <c r="G302" s="5" t="inlineStr">
        <is>
          <t>27 Aug 2026</t>
        </is>
      </c>
      <c r="H302" s="5" t="n">
        <v>6</v>
      </c>
      <c r="I302" s="5" t="inlineStr">
        <is>
          <t>Fresh Test (&lt;30d)</t>
        </is>
      </c>
      <c r="J302" s="5" t="inlineStr">
        <is>
          <t>Learn More</t>
        </is>
      </c>
      <c r="K302" s="6" t="inlineStr">
        <is>
          <t xml:space="preserve">New Cafe ALERT🚨  @gusto_dining_pune 📍Abja Pavillion, Seasons Rd, Sahil Park, Sanewadi, Aundh, Pune, Maharashtra 411067  </t>
        </is>
      </c>
      <c r="L302" s="6" t="inlineStr">
        <is>
          <t>New Cafe ALERT🚨  @gusto_dining_pune 📍Abja Pavillion, Seasons Rd, Sahil Park, Sanewadi, Aundh, Pune, Maharashtra 411067  • A cute date spot in Aundh with a super Instagram-worthy ambience – every corner is photogenic.  • From the best hot chocolate to breakfast and dinner, everything is sorted here.  • Perfect for dates, family gatherings, celebrations, or even coworking.  • Must-try: egg shakshuka, chicken caesar salad, and ham &amp; cheese sliders.  • Not just a café, it’s a whole vibe – visit Gu</t>
        </is>
      </c>
      <c r="M302" s="5" t="inlineStr">
        <is>
          <t>https://www.facebook.com/ads/library/?id=1058404806802483</t>
        </is>
      </c>
    </row>
    <row r="303">
      <c r="A303" s="7" t="n">
        <v>282</v>
      </c>
      <c r="B303" s="7" t="inlineStr">
        <is>
          <t>Gusto Cafe Pune</t>
        </is>
      </c>
      <c r="C303" s="7" t="inlineStr">
        <is>
          <t>Other Advertiser (Event / Service / Direct-to-Consumer)</t>
        </is>
      </c>
      <c r="D303" s="7" t="inlineStr">
        <is>
          <t>The Pavillion Pune</t>
        </is>
      </c>
      <c r="E303" s="7" t="inlineStr">
        <is>
          <t>Pune</t>
        </is>
      </c>
      <c r="F303" s="7" t="inlineStr">
        <is>
          <t>LIVE</t>
        </is>
      </c>
      <c r="G303" s="7" t="inlineStr">
        <is>
          <t>27 Aug 2026</t>
        </is>
      </c>
      <c r="H303" s="7" t="n">
        <v>6</v>
      </c>
      <c r="I303" s="7" t="inlineStr">
        <is>
          <t>Fresh Test (&lt;30d)</t>
        </is>
      </c>
      <c r="J303" s="7" t="inlineStr">
        <is>
          <t>Learn More</t>
        </is>
      </c>
      <c r="K303" s="8" t="inlineStr">
        <is>
          <t xml:space="preserve">New Cafe ALERT🚨  @gusto_dining_pune 📍Abja Pavillion, Seasons Rd, Sahil Park, Sanewadi, Aundh, Pune, Maharashtra 411067  </t>
        </is>
      </c>
      <c r="L303" s="8" t="inlineStr">
        <is>
          <t>New Cafe ALERT🚨  @gusto_dining_pune 📍Abja Pavillion, Seasons Rd, Sahil Park, Sanewadi, Aundh, Pune, Maharashtra 411067  • A cute date spot in Aundh with a super Instagram-worthy ambience – every corner is photogenic.  • From the best hot chocolate to breakfast and dinner, everything is sorted here.  • Perfect for dates, family gatherings, celebrations, or even coworking.  • Must-try: egg shakshuka, chicken caesar salad, and ham &amp; cheese sliders.  • Not just a café, it’s a whole vibe – visit Gu</t>
        </is>
      </c>
      <c r="M303" s="7" t="inlineStr">
        <is>
          <t>https://www.facebook.com/ads/library/?id=1829828555049572</t>
        </is>
      </c>
    </row>
    <row r="304">
      <c r="A304" s="5" t="n">
        <v>283</v>
      </c>
      <c r="B304" s="5" t="inlineStr">
        <is>
          <t>Gusto Cafe Pune</t>
        </is>
      </c>
      <c r="C304" s="5" t="inlineStr">
        <is>
          <t>Other Advertiser (Event / Service / Direct-to-Consumer)</t>
        </is>
      </c>
      <c r="D304" s="5" t="inlineStr">
        <is>
          <t>The Pavillion Pune</t>
        </is>
      </c>
      <c r="E304" s="5" t="inlineStr">
        <is>
          <t>Pune</t>
        </is>
      </c>
      <c r="F304" s="5" t="inlineStr">
        <is>
          <t>LIVE</t>
        </is>
      </c>
      <c r="G304" s="5" t="inlineStr">
        <is>
          <t>27 Aug 2026</t>
        </is>
      </c>
      <c r="H304" s="5" t="n">
        <v>6</v>
      </c>
      <c r="I304" s="5" t="inlineStr">
        <is>
          <t>Fresh Test (&lt;30d)</t>
        </is>
      </c>
      <c r="J304" s="5" t="inlineStr">
        <is>
          <t>Learn More</t>
        </is>
      </c>
      <c r="K304" s="6" t="inlineStr">
        <is>
          <t>A perfect place to enjoy a premium café experience!</t>
        </is>
      </c>
      <c r="L304" s="6" t="inlineStr">
        <is>
          <t>A perfect place to enjoy a premium café experience! ❤️✨  Visit this café today for a truly premium experience. Even though it’s premium, I personally felt the prices are quite affordable.  Make sure you watch the video till the end. ☕✨  📍Gusto Dining Abja Pavillion, Seasons Rd, Sahil Park, Sanewadi, Aundh, Pune, Maharashtra 411067  #punerestaurants #punefoodlovers #punefoodies #aundh #baner 0:00 / 0:33 ​ Active</t>
        </is>
      </c>
      <c r="M304" s="5" t="inlineStr">
        <is>
          <t>https://www.facebook.com/ads/library/?id=28477402308530360</t>
        </is>
      </c>
    </row>
    <row r="305">
      <c r="A305" s="7" t="n">
        <v>284</v>
      </c>
      <c r="B305" s="7" t="inlineStr">
        <is>
          <t>Gusto Cafe Pune</t>
        </is>
      </c>
      <c r="C305" s="7" t="inlineStr">
        <is>
          <t>Other Advertiser (Event / Service / Direct-to-Consumer)</t>
        </is>
      </c>
      <c r="D305" s="7" t="inlineStr">
        <is>
          <t>The Pavillion Pune</t>
        </is>
      </c>
      <c r="E305" s="7" t="inlineStr">
        <is>
          <t>Pune</t>
        </is>
      </c>
      <c r="F305" s="7" t="inlineStr">
        <is>
          <t>LIVE</t>
        </is>
      </c>
      <c r="G305" s="7" t="inlineStr">
        <is>
          <t>27 Aug 2026</t>
        </is>
      </c>
      <c r="H305" s="7" t="n">
        <v>6</v>
      </c>
      <c r="I305" s="7" t="inlineStr">
        <is>
          <t>Fresh Test (&lt;30d)</t>
        </is>
      </c>
      <c r="J305" s="7" t="inlineStr">
        <is>
          <t>Learn More</t>
        </is>
      </c>
      <c r="K305" s="8" t="inlineStr">
        <is>
          <t>A perfect place to enjoy a premium café experience!</t>
        </is>
      </c>
      <c r="L305" s="8" t="inlineStr">
        <is>
          <t>A perfect place to enjoy a premium café experience! ❤️✨  Visit this café today for a truly premium experience. Even though it’s premium, I personally felt the prices are quite affordable.  Make sure you watch the video till the end. ☕✨  📍Gusto Dining Abja Pavillion, Seasons Rd, Sahil Park, Sanewadi, Aundh, Pune, Maharashtra 411067  #punerestaurants #punefoodlovers #punefoodies #aundh #baner 0:00 / 0:33 ​ Active</t>
        </is>
      </c>
      <c r="M305" s="7" t="inlineStr">
        <is>
          <t>https://www.facebook.com/ads/library/?id=28444995908464583</t>
        </is>
      </c>
    </row>
    <row r="306">
      <c r="A306" s="5" t="n">
        <v>285</v>
      </c>
      <c r="B306" s="5" t="inlineStr">
        <is>
          <t>Gusto Cafe Pune</t>
        </is>
      </c>
      <c r="C306" s="5" t="inlineStr">
        <is>
          <t>Other Advertiser (Event / Service / Direct-to-Consumer)</t>
        </is>
      </c>
      <c r="D306" s="5" t="inlineStr">
        <is>
          <t>The Pavillion Pune</t>
        </is>
      </c>
      <c r="E306" s="5" t="inlineStr">
        <is>
          <t>Pune</t>
        </is>
      </c>
      <c r="F306" s="5" t="inlineStr">
        <is>
          <t>off</t>
        </is>
      </c>
      <c r="G306" s="5" t="inlineStr">
        <is>
          <t>27 Aug 2026</t>
        </is>
      </c>
      <c r="H306" s="5" t="n">
        <v>6</v>
      </c>
      <c r="I306" s="5" t="inlineStr">
        <is>
          <t>Fresh Test (&lt;30d)</t>
        </is>
      </c>
      <c r="J306" s="5" t="inlineStr">
        <is>
          <t>Learn More</t>
        </is>
      </c>
      <c r="K306" s="6" t="inlineStr">
        <is>
          <t>A perfect place to enjoy a premium café experience!</t>
        </is>
      </c>
      <c r="L306" s="6" t="inlineStr">
        <is>
          <t>A perfect place to enjoy a premium café experience! ❤️✨  Visit this café today for a truly premium experience. Even though it’s premium, I personally felt the prices are quite affordable.  Make sure you watch the video till the end. ☕✨  📍Gusto Dining Abja Pavillion, Seasons Rd, Sahil Park, Sanewadi, Aundh, Pune, Maharashtra 411067  #punerestaurants #punefoodlovers #punefoodies #aundh #baner 0:00 / 0:33 ​ Inactive</t>
        </is>
      </c>
      <c r="M306" s="5" t="inlineStr">
        <is>
          <t>https://www.facebook.com/ads/library/?id=1076851508058285</t>
        </is>
      </c>
    </row>
    <row r="307">
      <c r="A307" s="7" t="n">
        <v>286</v>
      </c>
      <c r="B307" s="7" t="inlineStr">
        <is>
          <t>Sweet Dreams</t>
        </is>
      </c>
      <c r="C307" s="7" t="inlineStr">
        <is>
          <t>Other Advertiser (Event / Service / Direct-to-Consumer)</t>
        </is>
      </c>
      <c r="D307" s="7" t="inlineStr">
        <is>
          <t>Seasons Mall Pune</t>
        </is>
      </c>
      <c r="E307" s="7" t="inlineStr">
        <is>
          <t>Pune</t>
        </is>
      </c>
      <c r="F307" s="7" t="inlineStr">
        <is>
          <t>LIVE</t>
        </is>
      </c>
      <c r="G307" s="7" t="inlineStr">
        <is>
          <t>27 Aug 2026</t>
        </is>
      </c>
      <c r="H307" s="7" t="n">
        <v>6</v>
      </c>
      <c r="I307" s="7" t="inlineStr">
        <is>
          <t>Fresh Test (&lt;30d)</t>
        </is>
      </c>
      <c r="J307" s="7" t="inlineStr">
        <is>
          <t>Learn More</t>
        </is>
      </c>
      <c r="K307" s="8" t="inlineStr">
        <is>
          <t>Pune, your new favourites landed.</t>
        </is>
      </c>
      <c r="L307" s="8" t="inlineStr">
        <is>
          <t>Pune, your new favourites landed. Discover the new SWEET DREAMS drop at Seasons Mall. 0:00 / 0:32 WWW.SWEETDREAMS.IN New Drop At Seasons Mall</t>
        </is>
      </c>
      <c r="M307" s="7" t="inlineStr">
        <is>
          <t>https://www.facebook.com/ads/library/?id=2598524900606776</t>
        </is>
      </c>
    </row>
    <row r="308">
      <c r="A308" s="5" t="n">
        <v>287</v>
      </c>
      <c r="B308" s="5" t="inlineStr">
        <is>
          <t>Broadway Live</t>
        </is>
      </c>
      <c r="C308" s="5" t="inlineStr">
        <is>
          <t>Tenant / Retail Brand (Co-Op Candidate)</t>
        </is>
      </c>
      <c r="D308" s="5" t="inlineStr">
        <is>
          <t>KOPA Mall Pune</t>
        </is>
      </c>
      <c r="E308" s="5" t="inlineStr">
        <is>
          <t>Pune</t>
        </is>
      </c>
      <c r="F308" s="5" t="inlineStr">
        <is>
          <t>LIVE</t>
        </is>
      </c>
      <c r="G308" s="5" t="inlineStr">
        <is>
          <t>27 Aug 2026</t>
        </is>
      </c>
      <c r="H308" s="5" t="n">
        <v>6</v>
      </c>
      <c r="I308" s="5" t="inlineStr">
        <is>
          <t>Fresh Test (&lt;30d)</t>
        </is>
      </c>
      <c r="J308" s="5" t="inlineStr">
        <is>
          <t>Learn More</t>
        </is>
      </c>
      <c r="K308" s="6" t="inlineStr">
        <is>
          <t>200+ Next Gen brands now have a new address!</t>
        </is>
      </c>
      <c r="L308" s="6" t="inlineStr">
        <is>
          <t>200+ Next Gen brands now have a new address! More than just a store — step into exclusive launches, community events, &amp; live experiences all in one space.  From fashion to handpicked beauty and skincare to wellness and nutrition — discover the best of Broadway, now at Kopa Mall, Pune! 0:00 / 0:46 INSTAGRAM.COM Broadway Live Visit Instagram profile ​ Active</t>
        </is>
      </c>
      <c r="M308" s="5" t="inlineStr">
        <is>
          <t>https://www.facebook.com/ads/library/?id=2609156816193336</t>
        </is>
      </c>
    </row>
    <row r="309">
      <c r="A309" s="7" t="n">
        <v>288</v>
      </c>
      <c r="B309" s="7" t="inlineStr">
        <is>
          <t>Pluto Entertainment</t>
        </is>
      </c>
      <c r="C309" s="7" t="inlineStr">
        <is>
          <t>Other Advertiser (Event / Service / Direct-to-Consumer)</t>
        </is>
      </c>
      <c r="D309" s="7" t="inlineStr">
        <is>
          <t>KOPA Mall Pune</t>
        </is>
      </c>
      <c r="E309" s="7" t="inlineStr">
        <is>
          <t>Pune</t>
        </is>
      </c>
      <c r="F309" s="7" t="inlineStr">
        <is>
          <t>LIVE</t>
        </is>
      </c>
      <c r="G309" s="7" t="inlineStr">
        <is>
          <t>27 Aug 2026</t>
        </is>
      </c>
      <c r="H309" s="7" t="n">
        <v>6</v>
      </c>
      <c r="I309" s="7" t="inlineStr">
        <is>
          <t>Fresh Test (&lt;30d)</t>
        </is>
      </c>
      <c r="J309" s="7" t="inlineStr">
        <is>
          <t>Learn More</t>
        </is>
      </c>
      <c r="K309" s="8" t="inlineStr">
        <is>
          <t>Some nights just hit different.</t>
        </is>
      </c>
      <c r="L309" s="8" t="inlineStr">
        <is>
          <t>Some nights just hit different. 6th September is one of them.  I'm sharing the stage with two artists whose sound I genuinely admire and together, we're bringing Pune a night that feels made for this exact momen!  oshojain's acoustic emotion that hits somewhere deep  me, cinematic indie storytelling, the kind you feel more than hear  gini keeping it soft, dreamy, unforgettable  Pune, this one's for you.  6th Sept 2026 | KOPA Mall, Pune  Tickets only on District By Zomato  Don't sleep on this one</t>
        </is>
      </c>
      <c r="M309" s="7" t="inlineStr">
        <is>
          <t>https://www.facebook.com/ads/library/?id=2576885532755417</t>
        </is>
      </c>
    </row>
    <row r="310">
      <c r="A310" s="5" t="n">
        <v>289</v>
      </c>
      <c r="B310" s="5" t="inlineStr">
        <is>
          <t>Samsung</t>
        </is>
      </c>
      <c r="C310" s="5" t="inlineStr">
        <is>
          <t>Other Advertiser (Event / Service / Direct-to-Consumer)</t>
        </is>
      </c>
      <c r="D310" s="5" t="inlineStr">
        <is>
          <t>KOPA Mall Pune</t>
        </is>
      </c>
      <c r="E310" s="5" t="inlineStr">
        <is>
          <t>Pune</t>
        </is>
      </c>
      <c r="F310" s="5" t="inlineStr">
        <is>
          <t>LIVE</t>
        </is>
      </c>
      <c r="G310" s="5" t="inlineStr">
        <is>
          <t>27 Aug 2026</t>
        </is>
      </c>
      <c r="H310" s="5" t="n">
        <v>6</v>
      </c>
      <c r="I310" s="5" t="inlineStr">
        <is>
          <t>Fresh Test (&lt;30d)</t>
        </is>
      </c>
      <c r="J310" s="5" t="inlineStr">
        <is>
          <t>Sign Up</t>
        </is>
      </c>
      <c r="K310" s="6" t="inlineStr">
        <is>
          <t>Own the new Galaxy Watch Ultra2 built to keep up with every adventure and the new Galaxy Watch9 your everyday wellness c</t>
        </is>
      </c>
      <c r="L310" s="6" t="inlineStr">
        <is>
          <t>Own the new Galaxy Watch Ultra2 built to keep up with every adventure and the new Galaxy Watch9 your everyday wellness companion starting at ₹ 1417/month*. Visit Samsung Experience Store, KOPA Mall, Pune. New Galaxy Watch9 Series Own now at Samsung Stores Sign Up ​ Active</t>
        </is>
      </c>
      <c r="M310" s="5" t="inlineStr">
        <is>
          <t>https://www.facebook.com/ads/library/?id=2577463779330508</t>
        </is>
      </c>
    </row>
    <row r="311">
      <c r="A311" s="7" t="n">
        <v>290</v>
      </c>
      <c r="B311" s="7" t="inlineStr">
        <is>
          <t>Pristine Developers</t>
        </is>
      </c>
      <c r="C311" s="7" t="inlineStr">
        <is>
          <t>Real Estate Developer (Location-Piggyback)</t>
        </is>
      </c>
      <c r="D311" s="7" t="inlineStr">
        <is>
          <t>KOPA Mall Pune</t>
        </is>
      </c>
      <c r="E311" s="7" t="inlineStr">
        <is>
          <t>Pune</t>
        </is>
      </c>
      <c r="F311" s="7" t="inlineStr">
        <is>
          <t>LIVE</t>
        </is>
      </c>
      <c r="G311" s="7" t="inlineStr">
        <is>
          <t>27 Aug 2026</t>
        </is>
      </c>
      <c r="H311" s="7" t="n">
        <v>6</v>
      </c>
      <c r="I311" s="7" t="inlineStr">
        <is>
          <t>Fresh Test (&lt;30d)</t>
        </is>
      </c>
      <c r="J311" s="7" t="inlineStr">
        <is>
          <t>Learn More</t>
        </is>
      </c>
      <c r="K311" s="8" t="inlineStr">
        <is>
          <t>Inspired by the elegance of Saif Ali Khan.</t>
        </is>
      </c>
      <c r="L311" s="8"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Book Your Exclusive Site Visit Today!</t>
        </is>
      </c>
      <c r="M311" s="7" t="inlineStr">
        <is>
          <t>https://www.facebook.com/ads/library/?id=2037940160176778</t>
        </is>
      </c>
    </row>
    <row r="312">
      <c r="A312" s="5" t="n">
        <v>291</v>
      </c>
      <c r="B312" s="5" t="inlineStr">
        <is>
          <t>Pristine Developers</t>
        </is>
      </c>
      <c r="C312" s="5" t="inlineStr">
        <is>
          <t>Real Estate Developer (Location-Piggyback)</t>
        </is>
      </c>
      <c r="D312" s="5" t="inlineStr">
        <is>
          <t>KOPA Mall Pune</t>
        </is>
      </c>
      <c r="E312" s="5" t="inlineStr">
        <is>
          <t>Pune</t>
        </is>
      </c>
      <c r="F312" s="5" t="inlineStr">
        <is>
          <t>LIVE</t>
        </is>
      </c>
      <c r="G312" s="5" t="inlineStr">
        <is>
          <t>27 Aug 2026</t>
        </is>
      </c>
      <c r="H312" s="5" t="n">
        <v>6</v>
      </c>
      <c r="I312" s="5" t="inlineStr">
        <is>
          <t>Fresh Test (&lt;30d)</t>
        </is>
      </c>
      <c r="J312" s="5" t="inlineStr">
        <is>
          <t>Learn More</t>
        </is>
      </c>
      <c r="K312" s="6" t="inlineStr">
        <is>
          <t>Inspired by the elegance of Saif Ali Khan.</t>
        </is>
      </c>
      <c r="L312" s="6"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Book Your Exclusive Site Visit Today!</t>
        </is>
      </c>
      <c r="M312" s="5" t="inlineStr">
        <is>
          <t>https://www.facebook.com/ads/library/?id=912166638549936</t>
        </is>
      </c>
    </row>
    <row r="313">
      <c r="A313" s="7" t="n">
        <v>292</v>
      </c>
      <c r="B313" s="7" t="inlineStr">
        <is>
          <t>Pristine Developers</t>
        </is>
      </c>
      <c r="C313" s="7" t="inlineStr">
        <is>
          <t>Real Estate Developer (Location-Piggyback)</t>
        </is>
      </c>
      <c r="D313" s="7" t="inlineStr">
        <is>
          <t>KOPA Mall Pune</t>
        </is>
      </c>
      <c r="E313" s="7" t="inlineStr">
        <is>
          <t>Pune</t>
        </is>
      </c>
      <c r="F313" s="7" t="inlineStr">
        <is>
          <t>LIVE</t>
        </is>
      </c>
      <c r="G313" s="7" t="inlineStr">
        <is>
          <t>27 Aug 2026</t>
        </is>
      </c>
      <c r="H313" s="7" t="n">
        <v>6</v>
      </c>
      <c r="I313" s="7" t="inlineStr">
        <is>
          <t>Fresh Test (&lt;30d)</t>
        </is>
      </c>
      <c r="J313" s="7" t="inlineStr">
        <is>
          <t>Learn More</t>
        </is>
      </c>
      <c r="K313" s="8" t="inlineStr">
        <is>
          <t>Inspired by the elegance of Saif Ali Khan.</t>
        </is>
      </c>
      <c r="L313" s="8"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Book Your Exclusive Site Visit Today!</t>
        </is>
      </c>
      <c r="M313" s="7" t="inlineStr">
        <is>
          <t>https://www.facebook.com/ads/library/?id=1353535650279008</t>
        </is>
      </c>
    </row>
    <row r="314">
      <c r="A314" s="5" t="n">
        <v>293</v>
      </c>
      <c r="B314" s="5" t="inlineStr">
        <is>
          <t>The science squad. explorer</t>
        </is>
      </c>
      <c r="C314" s="5" t="inlineStr">
        <is>
          <t>Other Advertiser (Event / Service / Direct-to-Consumer)</t>
        </is>
      </c>
      <c r="D314" s="5" t="inlineStr">
        <is>
          <t>Lulu Mall Hyderabad</t>
        </is>
      </c>
      <c r="E314" s="5" t="inlineStr">
        <is>
          <t>Hyderabad</t>
        </is>
      </c>
      <c r="F314" s="5" t="inlineStr">
        <is>
          <t>LIVE</t>
        </is>
      </c>
      <c r="G314" s="5" t="inlineStr">
        <is>
          <t>27 Aug 2026</t>
        </is>
      </c>
      <c r="H314" s="5" t="n">
        <v>6</v>
      </c>
      <c r="I314" s="5" t="inlineStr">
        <is>
          <t>Fresh Test (&lt;30d)</t>
        </is>
      </c>
      <c r="J314" s="5" t="inlineStr">
        <is>
          <t>Book Now</t>
        </is>
      </c>
      <c r="K314" s="6" t="inlineStr">
        <is>
          <t>Live Science Experiments Virtual Cricket Arena Mystery Dark Room Free entry for all!</t>
        </is>
      </c>
      <c r="L314" s="6" t="inlineStr">
        <is>
          <t>Live Science Experiments Virtual Cricket Arena Mystery Dark Room Free entry for all! 📍Lulu Mall, Hyderabad 📅 29 Aug – 6 Sep</t>
        </is>
      </c>
      <c r="M314" s="5" t="inlineStr">
        <is>
          <t>https://www.facebook.com/ads/library/?id=2197401650820838</t>
        </is>
      </c>
    </row>
    <row r="315">
      <c r="A315" s="7" t="n">
        <v>294</v>
      </c>
      <c r="B315" s="7" t="inlineStr">
        <is>
          <t>The science squad. explorer</t>
        </is>
      </c>
      <c r="C315" s="7" t="inlineStr">
        <is>
          <t>Other Advertiser (Event / Service / Direct-to-Consumer)</t>
        </is>
      </c>
      <c r="D315" s="7" t="inlineStr">
        <is>
          <t>Lulu Mall Hyderabad</t>
        </is>
      </c>
      <c r="E315" s="7" t="inlineStr">
        <is>
          <t>Hyderabad</t>
        </is>
      </c>
      <c r="F315" s="7" t="inlineStr">
        <is>
          <t>off</t>
        </is>
      </c>
      <c r="G315" s="7" t="inlineStr">
        <is>
          <t>27 Aug 2026</t>
        </is>
      </c>
      <c r="H315" s="7" t="n">
        <v>6</v>
      </c>
      <c r="I315" s="7" t="inlineStr">
        <is>
          <t>Fresh Test (&lt;30d)</t>
        </is>
      </c>
      <c r="J315" s="7" t="inlineStr">
        <is>
          <t>Book Now</t>
        </is>
      </c>
      <c r="K315" s="8" t="inlineStr">
        <is>
          <t>Live Science Experiments Virtual Cricket Arena Mystery Dark Room Free entry for all!</t>
        </is>
      </c>
      <c r="L315" s="8" t="inlineStr">
        <is>
          <t>Live Science Experiments Virtual Cricket Arena Mystery Dark Room Free entry for all! 📍Lulu Mall, Hyderabad 📅 29 Aug – 6 Sep</t>
        </is>
      </c>
      <c r="M315" s="7" t="inlineStr">
        <is>
          <t>https://www.facebook.com/ads/library/?id=1738560227451058</t>
        </is>
      </c>
    </row>
    <row r="316">
      <c r="A316" s="5" t="n">
        <v>295</v>
      </c>
      <c r="B316" s="5" t="inlineStr">
        <is>
          <t>Bedcetera</t>
        </is>
      </c>
      <c r="C316" s="5" t="inlineStr">
        <is>
          <t>Other Advertiser (Event / Service / Direct-to-Consumer)</t>
        </is>
      </c>
      <c r="D316" s="5" t="inlineStr">
        <is>
          <t>Lulu Mall Hyderabad</t>
        </is>
      </c>
      <c r="E316" s="5" t="inlineStr">
        <is>
          <t>Hyderabad</t>
        </is>
      </c>
      <c r="F316" s="5" t="inlineStr">
        <is>
          <t>off</t>
        </is>
      </c>
      <c r="G316" s="5" t="inlineStr">
        <is>
          <t>27 Aug 2026</t>
        </is>
      </c>
      <c r="H316" s="5" t="n">
        <v>6</v>
      </c>
      <c r="I316" s="5" t="inlineStr">
        <is>
          <t>Fresh Test (&lt;30d)</t>
        </is>
      </c>
      <c r="J316" s="5" t="inlineStr">
        <is>
          <t>Learn More</t>
        </is>
      </c>
      <c r="K316" s="6" t="inlineStr">
        <is>
          <t>Rakhi shopping just got a little more exciting!</t>
        </is>
      </c>
      <c r="L316" s="6" t="inlineStr">
        <is>
          <t>Rakhi shopping just got a little more exciting!  Visit Bedcetera at LuLu Mall or any of our 13 stores across the city to find the Spin the Wheel 🎡 and unlock special offers curated just for you! ✨  🎁 15% OFF on your bill 🛏️ Pillow Cover Packs @ ₹149 🧺 Welspun Hand Towels @ ₹299 ✨ Fabella Bedsheets starting @ ₹599 🌈 Aura Print Bedsheets starting @ ₹999 🎁 FREE Bamboo Hand Towel Set worth ₹499 on purchases of ₹1,249+  Shop your Rakhi favourites, spin the wheel and take home a little extra! 💝</t>
        </is>
      </c>
      <c r="M316" s="5" t="inlineStr">
        <is>
          <t>https://www.facebook.com/ads/library/?id=1628009045345544</t>
        </is>
      </c>
    </row>
    <row r="317">
      <c r="A317" s="7" t="n">
        <v>296</v>
      </c>
      <c r="B317" s="7" t="inlineStr">
        <is>
          <t>Godrej Kukatpally, New Launch, Hyderabad</t>
        </is>
      </c>
      <c r="C317" s="7" t="inlineStr">
        <is>
          <t>Real Estate Developer (Location-Piggyback)</t>
        </is>
      </c>
      <c r="D317" s="7" t="inlineStr">
        <is>
          <t>Nexus Hyderabad Mall</t>
        </is>
      </c>
      <c r="E317" s="7" t="inlineStr">
        <is>
          <t>Hyderabad</t>
        </is>
      </c>
      <c r="F317" s="7" t="inlineStr">
        <is>
          <t>off</t>
        </is>
      </c>
      <c r="G317" s="7" t="inlineStr">
        <is>
          <t>27 Aug 2026</t>
        </is>
      </c>
      <c r="H317" s="7" t="n">
        <v>6</v>
      </c>
      <c r="I317" s="7" t="inlineStr">
        <is>
          <t>Fresh Test (&lt;30d)</t>
        </is>
      </c>
      <c r="J317" s="7" t="inlineStr">
        <is>
          <t>Get Offer</t>
        </is>
      </c>
      <c r="K317" s="8" t="inlineStr">
        <is>
          <t>Stay close to the action, far from the exhaustion.</t>
        </is>
      </c>
      <c r="L317" s="8" t="inlineStr">
        <is>
          <t>Stay close to the action, far from the exhaustion. Make your move to Godrej Brooklyn Avenue with 3 BHK Luxe homes of 1,587 sq. ft.* starting from ₹1.98 Cr. and 4 BHK Grande homes of 3,213 sq. ft.* starting from ₹4.01 Cr.*  ✔ Exclusive Launch Offers | Reserve Your Home Today* ✔ New Launch In Hyderabad ✔ Bigger Units Available ✔ Just 3 Mins* From NH-65 ✔ 2 Landmark G+45 Towers Offering Enhanced Privacy ✔ Excellent Connectivity To NH-65 &amp; KPHB Metro ✔ 70%* Open &amp; Landscaped Spaces Across 7.8 Acres*</t>
        </is>
      </c>
      <c r="M317" s="7" t="inlineStr">
        <is>
          <t>https://www.facebook.com/ads/library/?id=1317269360298380</t>
        </is>
      </c>
    </row>
    <row r="318">
      <c r="A318" s="5" t="n">
        <v>297</v>
      </c>
      <c r="B318" s="5" t="inlineStr">
        <is>
          <t>Aimnxt Edtech</t>
        </is>
      </c>
      <c r="C318" s="5" t="inlineStr">
        <is>
          <t>Other Advertiser (Event / Service / Direct-to-Consumer)</t>
        </is>
      </c>
      <c r="D318" s="5" t="inlineStr">
        <is>
          <t>Nexus Hyderabad Mall</t>
        </is>
      </c>
      <c r="E318" s="5" t="inlineStr">
        <is>
          <t>Hyderabad</t>
        </is>
      </c>
      <c r="F318" s="5" t="inlineStr">
        <is>
          <t>off</t>
        </is>
      </c>
      <c r="G318" s="5" t="inlineStr">
        <is>
          <t>27 Aug 2026</t>
        </is>
      </c>
      <c r="H318" s="5" t="n">
        <v>6</v>
      </c>
      <c r="I318" s="5" t="inlineStr">
        <is>
          <t>Fresh Test (&lt;30d)</t>
        </is>
      </c>
      <c r="J318" s="5" t="inlineStr">
        <is>
          <t>Learn More</t>
        </is>
      </c>
      <c r="K318" s="6" t="inlineStr">
        <is>
          <t>🚨 WORKSHOP ALERT !</t>
        </is>
      </c>
      <c r="L318" s="6" t="inlineStr">
        <is>
          <t>🚨 WORKSHOP ALERT ! 🚨  🎯 NETWORK TALENTX – FREE WORKSHOP  Want to build your Networking Skills with real-world practical exposure? 🌐  🔥 100% Practical Learning 🛠️ Network Fundamentals + Hands-on Labs 🌍 Real-World Networking Scenarios 📜 Certificate of Participation  👨‍🏫 Renowned Mentor: Mr. Santhosh  📅 5th September 2026 ⏰ 9:00 AM to 01:00 PM  📍 AimNxt Technologies, KPHB 5th Phase, Hyderabad 🎟️ Limited Seats Available!  👉 Register Now: Scan the QR code in the poster.  📞 +91 91 5239</t>
        </is>
      </c>
      <c r="M318" s="5" t="inlineStr">
        <is>
          <t>https://www.facebook.com/ads/library/?id=1090375107011699</t>
        </is>
      </c>
    </row>
    <row r="319">
      <c r="A319" s="7" t="n">
        <v>298</v>
      </c>
      <c r="B319" s="7" t="inlineStr">
        <is>
          <t>Godrej Kukatpally, New Launch, Hyderabad</t>
        </is>
      </c>
      <c r="C319" s="7" t="inlineStr">
        <is>
          <t>Real Estate Developer (Location-Piggyback)</t>
        </is>
      </c>
      <c r="D319" s="7" t="inlineStr">
        <is>
          <t>Nexus Hyderabad Mall</t>
        </is>
      </c>
      <c r="E319" s="7" t="inlineStr">
        <is>
          <t>Hyderabad</t>
        </is>
      </c>
      <c r="F319" s="7" t="inlineStr">
        <is>
          <t>LIVE</t>
        </is>
      </c>
      <c r="G319" s="7" t="inlineStr">
        <is>
          <t>27 Aug 2026</t>
        </is>
      </c>
      <c r="H319" s="7" t="n">
        <v>6</v>
      </c>
      <c r="I319" s="7" t="inlineStr">
        <is>
          <t>Fresh Test (&lt;30d)</t>
        </is>
      </c>
      <c r="J319" s="7" t="inlineStr">
        <is>
          <t>Get Offer</t>
        </is>
      </c>
      <c r="K319" s="8" t="inlineStr">
        <is>
          <t>Make every square foot feel considered.</t>
        </is>
      </c>
      <c r="L319" s="8" t="inlineStr">
        <is>
          <t>Make every square foot feel considered. Discover spacious living at Godrej Brooklyn Avenue with 3 BHK Luxe homes of 1,587 sq. ft*. from ₹1.98 Cr.* and 4 BHK Grande homes of 3,213 sq. ft.* from ₹4.01 Cr.*.  ✓ Exclusive Launch Offers And Reserve Your Home Today* ✓ New Launch In Hyderabad ✓ Spacious 3 &amp; 4 BHK Residences ✓ Vastu-Compliant Home Layouts ✓ Large Balconies To Extend Everyday Living ✓ Corner Units For Added Light &amp; Ventilation ✓ Thoughtfully Planned Living Spaces ✓ Premium Specifications</t>
        </is>
      </c>
      <c r="M319" s="7" t="inlineStr">
        <is>
          <t>https://www.facebook.com/ads/library/?id=1398872428872203</t>
        </is>
      </c>
    </row>
    <row r="320">
      <c r="A320" s="5" t="n">
        <v>299</v>
      </c>
      <c r="B320" s="5" t="inlineStr">
        <is>
          <t>Skyla Luxurio services apartment</t>
        </is>
      </c>
      <c r="C320" s="5" t="inlineStr">
        <is>
          <t>Real Estate Developer (Location-Piggyback)</t>
        </is>
      </c>
      <c r="D320" s="5" t="inlineStr">
        <is>
          <t>Sarath City Capital Mall</t>
        </is>
      </c>
      <c r="E320" s="5" t="inlineStr">
        <is>
          <t>Hyderabad</t>
        </is>
      </c>
      <c r="F320" s="5" t="inlineStr">
        <is>
          <t>LIVE</t>
        </is>
      </c>
      <c r="G320" s="5" t="inlineStr">
        <is>
          <t>27 Aug 2026</t>
        </is>
      </c>
      <c r="H320" s="5" t="n">
        <v>6</v>
      </c>
      <c r="I320" s="5" t="inlineStr">
        <is>
          <t>Fresh Test (&lt;30d)</t>
        </is>
      </c>
      <c r="J320" s="5" t="inlineStr">
        <is>
          <t>Book Now</t>
        </is>
      </c>
      <c r="K320" s="6" t="inlineStr">
        <is>
          <t xml:space="preserve">✨ Welcome to Skyla Luxurio Service Apartment in Kondapur 🏡  Experience luxury, comfort, and convenience in the heart of </t>
        </is>
      </c>
      <c r="L320" s="6" t="inlineStr">
        <is>
          <t>✨ Welcome to Skyla Luxurio Service Apartment in Kondapur 🏡  Experience luxury, comfort, and convenience in the heart of Kondapur, Hyderabad. Our fully furnished 2BHK service apartments are perfect for business travelers, corporate professionals, families, medical visitors, and long-term guests.  Enjoy premium amenities including: ✔️ Spacious Bedrooms ✔️ Fully Equipped Kitchen ✔️ High-Speed Wi-Fi ✔️ Smart TV ✔️ Daily Housekeeping ✔️ Laundry Service ✔️ Free Parking ✔️ 24/7 Security  📍 Just minut</t>
        </is>
      </c>
      <c r="M320" s="5" t="inlineStr">
        <is>
          <t>https://www.facebook.com/ads/library/?id=1051685734424754</t>
        </is>
      </c>
    </row>
    <row r="321">
      <c r="A321" s="7" t="n">
        <v>300</v>
      </c>
      <c r="B321" s="7" t="inlineStr">
        <is>
          <t>Skyla Luxurio services apartment</t>
        </is>
      </c>
      <c r="C321" s="7" t="inlineStr">
        <is>
          <t>Real Estate Developer (Location-Piggyback)</t>
        </is>
      </c>
      <c r="D321" s="7" t="inlineStr">
        <is>
          <t>Sarath City Capital Mall</t>
        </is>
      </c>
      <c r="E321" s="7" t="inlineStr">
        <is>
          <t>Hyderabad</t>
        </is>
      </c>
      <c r="F321" s="7" t="inlineStr">
        <is>
          <t>LIVE</t>
        </is>
      </c>
      <c r="G321" s="7" t="inlineStr">
        <is>
          <t>27 Aug 2026</t>
        </is>
      </c>
      <c r="H321" s="7" t="n">
        <v>6</v>
      </c>
      <c r="I321" s="7" t="inlineStr">
        <is>
          <t>Fresh Test (&lt;30d)</t>
        </is>
      </c>
      <c r="J321" s="7" t="inlineStr">
        <is>
          <t>Book Now</t>
        </is>
      </c>
      <c r="K321" s="8" t="inlineStr">
        <is>
          <t xml:space="preserve">✨ Welcome to Skyla Luxurio Service Apartment in Kondapur 🏡  Experience luxury, comfort, and convenience in the heart of </t>
        </is>
      </c>
      <c r="L321" s="8" t="inlineStr">
        <is>
          <t>✨ Welcome to Skyla Luxurio Service Apartment in Kondapur 🏡  Experience luxury, comfort, and convenience in the heart of Kondapur, Hyderabad. Our fully furnished 2BHK service apartments are perfect for business travelers, corporate professionals, families, medical visitors, and long-term guests.  Enjoy premium amenities including: ✔️ Spacious Bedrooms ✔️ Fully Equipped Kitchen ✔️ High-Speed Wi-Fi ✔️ Smart TV ✔️ Daily Housekeeping ✔️ Laundry Service ✔️ Free Parking ✔️ 24/7 Security  📍 Just minut</t>
        </is>
      </c>
      <c r="M321" s="7" t="inlineStr">
        <is>
          <t>https://www.facebook.com/ads/library/?id=1617413996433141</t>
        </is>
      </c>
    </row>
    <row r="322">
      <c r="A322" s="5" t="n">
        <v>301</v>
      </c>
      <c r="B322" s="5" t="inlineStr">
        <is>
          <t>Samsung</t>
        </is>
      </c>
      <c r="C322" s="5" t="inlineStr">
        <is>
          <t>Other Advertiser (Event / Service / Direct-to-Consumer)</t>
        </is>
      </c>
      <c r="D322" s="5" t="inlineStr">
        <is>
          <t>Inorbit Mall Cyberabad</t>
        </is>
      </c>
      <c r="E322" s="5" t="inlineStr">
        <is>
          <t>Hyderabad</t>
        </is>
      </c>
      <c r="F322" s="5" t="inlineStr">
        <is>
          <t>off</t>
        </is>
      </c>
      <c r="G322" s="5" t="inlineStr">
        <is>
          <t>27 Aug 2026</t>
        </is>
      </c>
      <c r="H322" s="5" t="n">
        <v>6</v>
      </c>
      <c r="I322" s="5" t="inlineStr">
        <is>
          <t>Fresh Test (&lt;30d)</t>
        </is>
      </c>
      <c r="J322" s="5" t="inlineStr">
        <is>
          <t>Sign Up</t>
        </is>
      </c>
      <c r="K322" s="6" t="inlineStr">
        <is>
          <t>Own the new Galaxy Watch Ultra2 built to keep up with every adventure and the new Galaxy Watch9 your everyday wellness c</t>
        </is>
      </c>
      <c r="L322" s="6" t="inlineStr">
        <is>
          <t>Own the new Galaxy Watch Ultra2 built to keep up with every adventure and the new Galaxy Watch9 your everyday wellness companion starting at ₹ 1417/month*. Visit Samsung Experience Store, Inorbit Mall, Hyderabad. New Galaxy Watch9 Series Own now at Samsung Stores Sign Up ​ Inactive</t>
        </is>
      </c>
      <c r="M322" s="5" t="inlineStr">
        <is>
          <t>https://www.facebook.com/ads/library/?id=1586056286435275</t>
        </is>
      </c>
    </row>
    <row r="323">
      <c r="A323" s="7" t="n">
        <v>302</v>
      </c>
      <c r="B323" s="7" t="inlineStr">
        <is>
          <t>Truecarat Diamonds Pvt Ltd</t>
        </is>
      </c>
      <c r="C323" s="7" t="inlineStr">
        <is>
          <t>Other Advertiser (Event / Service / Direct-to-Consumer)</t>
        </is>
      </c>
      <c r="D323" s="7" t="inlineStr">
        <is>
          <t>Inorbit Mall Cyberabad</t>
        </is>
      </c>
      <c r="E323" s="7" t="inlineStr">
        <is>
          <t>Hyderabad</t>
        </is>
      </c>
      <c r="F323" s="7" t="inlineStr">
        <is>
          <t>LIVE</t>
        </is>
      </c>
      <c r="G323" s="7" t="inlineStr">
        <is>
          <t>27 Aug 2026</t>
        </is>
      </c>
      <c r="H323" s="7" t="n">
        <v>6</v>
      </c>
      <c r="I323" s="7" t="inlineStr">
        <is>
          <t>Fresh Test (&lt;30d)</t>
        </is>
      </c>
      <c r="J323" s="7" t="inlineStr">
        <is>
          <t>Learn More</t>
        </is>
      </c>
      <c r="K323" s="8" t="inlineStr">
        <is>
          <t>India's Finest DESIGNER RINGS - Now in Vizag!</t>
        </is>
      </c>
      <c r="L323" s="8"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M323" s="7" t="inlineStr">
        <is>
          <t>https://www.facebook.com/ads/library/?id=1073907128723616</t>
        </is>
      </c>
    </row>
    <row r="324">
      <c r="A324" s="5" t="n">
        <v>303</v>
      </c>
      <c r="B324" s="5" t="inlineStr">
        <is>
          <t>Truecarat Diamonds Pvt Ltd</t>
        </is>
      </c>
      <c r="C324" s="5" t="inlineStr">
        <is>
          <t>Other Advertiser (Event / Service / Direct-to-Consumer)</t>
        </is>
      </c>
      <c r="D324" s="5" t="inlineStr">
        <is>
          <t>Inorbit Mall Cyberabad</t>
        </is>
      </c>
      <c r="E324" s="5" t="inlineStr">
        <is>
          <t>Hyderabad</t>
        </is>
      </c>
      <c r="F324" s="5" t="inlineStr">
        <is>
          <t>off</t>
        </is>
      </c>
      <c r="G324" s="5" t="inlineStr">
        <is>
          <t>27 Aug 2026</t>
        </is>
      </c>
      <c r="H324" s="5" t="n">
        <v>6</v>
      </c>
      <c r="I324" s="5" t="inlineStr">
        <is>
          <t>Fresh Test (&lt;30d)</t>
        </is>
      </c>
      <c r="J324" s="5" t="inlineStr">
        <is>
          <t>Learn More</t>
        </is>
      </c>
      <c r="K324" s="6" t="inlineStr">
        <is>
          <t>India's Finest DESIGNER RINGS - Now in Vizag!</t>
        </is>
      </c>
      <c r="L324" s="6"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Inactive</t>
        </is>
      </c>
      <c r="M324" s="5" t="inlineStr">
        <is>
          <t>https://www.facebook.com/ads/library/?id=1424897709549993</t>
        </is>
      </c>
    </row>
    <row r="325">
      <c r="A325" s="7" t="n">
        <v>304</v>
      </c>
      <c r="B325" s="7" t="inlineStr">
        <is>
          <t>Truecarat Diamonds Pvt Ltd</t>
        </is>
      </c>
      <c r="C325" s="7" t="inlineStr">
        <is>
          <t>Other Advertiser (Event / Service / Direct-to-Consumer)</t>
        </is>
      </c>
      <c r="D325" s="7" t="inlineStr">
        <is>
          <t>Inorbit Mall Cyberabad</t>
        </is>
      </c>
      <c r="E325" s="7" t="inlineStr">
        <is>
          <t>Hyderabad</t>
        </is>
      </c>
      <c r="F325" s="7" t="inlineStr">
        <is>
          <t>LIVE</t>
        </is>
      </c>
      <c r="G325" s="7" t="inlineStr">
        <is>
          <t>27 Aug 2026</t>
        </is>
      </c>
      <c r="H325" s="7" t="n">
        <v>6</v>
      </c>
      <c r="I325" s="7" t="inlineStr">
        <is>
          <t>Fresh Test (&lt;30d)</t>
        </is>
      </c>
      <c r="J325" s="7" t="inlineStr">
        <is>
          <t>Learn More</t>
        </is>
      </c>
      <c r="K325" s="8" t="inlineStr">
        <is>
          <t>India's Finest DESIGNER RINGS - Now in Vizag!</t>
        </is>
      </c>
      <c r="L325" s="8" t="inlineStr">
        <is>
          <t>India's Finest DESIGNER RINGS - Now in Vizag!   Home of the Portuguese Cut (160 cuts) - world's brightest diamond.    💎 Natural &amp; Lab-Grown diamonds — 100% certified   ✅ Lifetime Warranty | Lifetime Buyback | Lifetime Exchange 🚚 Pan India Delivery | 14 Days Promise | Starting ₹40K  Stores in Mumbai, Hyderabad, Delhi NCR, Pune, Vizag &amp; Bangalore! WHATSAPP Truecarat Diamonds Pvt Ltd Send WhatsApp message ​ Active</t>
        </is>
      </c>
      <c r="M325" s="7" t="inlineStr">
        <is>
          <t>https://www.facebook.com/ads/library/?id=1546070133412883</t>
        </is>
      </c>
    </row>
    <row r="326">
      <c r="A326" s="5" t="n">
        <v>305</v>
      </c>
      <c r="B326" s="5" t="inlineStr">
        <is>
          <t>Phoenix Avenue Of Stars</t>
        </is>
      </c>
      <c r="C326" s="5" t="inlineStr">
        <is>
          <t>Mall / Landlord (Direct Competitor)</t>
        </is>
      </c>
      <c r="D326" s="5" t="inlineStr">
        <is>
          <t>Phoenix Marketcity Pune</t>
        </is>
      </c>
      <c r="E326" s="5" t="inlineStr">
        <is>
          <t>Pune</t>
        </is>
      </c>
      <c r="F326" s="5" t="inlineStr">
        <is>
          <t>LIVE</t>
        </is>
      </c>
      <c r="G326" s="5" t="inlineStr">
        <is>
          <t>28 Aug 2026</t>
        </is>
      </c>
      <c r="H326" s="5" t="n">
        <v>5</v>
      </c>
      <c r="I326" s="5" t="inlineStr">
        <is>
          <t>Fresh Test (&lt;30d)</t>
        </is>
      </c>
      <c r="J326" s="5" t="inlineStr">
        <is>
          <t>Learn More</t>
        </is>
      </c>
      <c r="K326" s="6" t="inlineStr">
        <is>
          <t>🎤✨ The undisputed king of 90s nostalgia and soulful Qawwali is coming to Pune!</t>
        </is>
      </c>
      <c r="L326" s="6" t="inlineStr">
        <is>
          <t>🎤✨ The undisputed king of 90s nostalgia and soulful Qawwali is coming to Pune! 🎶💔🥀  Get ready to sing along to the iconic anthems that defined an entire era! Experience the legendary Altaf Raja LIVE as he takes over Liberty Square for an unforgettable evening of timeless melodies, heartfelt shayari, and pure retro magic under the stars at Phoenix Avenue of Stars. 🌟💫  📌 Event Details:  🗓️ Date: Saturday, 12th September 2026  ⏰ Time: 8 PM onwards  📍 Venue: Liberty Square, Phoenix Avenue o</t>
        </is>
      </c>
      <c r="M326" s="5" t="inlineStr">
        <is>
          <t>https://www.facebook.com/ads/library/?id=1755466265576810</t>
        </is>
      </c>
    </row>
    <row r="327">
      <c r="A327" s="7" t="n">
        <v>306</v>
      </c>
      <c r="B327" s="7" t="inlineStr">
        <is>
          <t>Indriya Jewels</t>
        </is>
      </c>
      <c r="C327" s="7" t="inlineStr">
        <is>
          <t>Tenant / Retail Brand (Co-Op Candidate)</t>
        </is>
      </c>
      <c r="D327" s="7" t="inlineStr">
        <is>
          <t>Phoenix Marketcity Pune</t>
        </is>
      </c>
      <c r="E327" s="7" t="inlineStr">
        <is>
          <t>Pune</t>
        </is>
      </c>
      <c r="F327" s="7" t="inlineStr">
        <is>
          <t>LIVE</t>
        </is>
      </c>
      <c r="G327" s="7" t="inlineStr">
        <is>
          <t>28 Aug 2026</t>
        </is>
      </c>
      <c r="H327" s="7" t="n">
        <v>5</v>
      </c>
      <c r="I327" s="7" t="inlineStr">
        <is>
          <t>Fresh Test (&lt;30d)</t>
        </is>
      </c>
      <c r="J327" s="7" t="inlineStr">
        <is>
          <t>Learn More</t>
        </is>
      </c>
      <c r="K327" s="8" t="inlineStr">
        <is>
          <t>Exchange your old gold at Indriya with 0% deduction on any karat.</t>
        </is>
      </c>
      <c r="L327" s="8" t="inlineStr">
        <is>
          <t>Exchange your old gold at Indriya with 0% deduction on any karat. Get full value for your old gold and buy new jewellery with making charges from just 8%. New store open at Angul</t>
        </is>
      </c>
      <c r="M327" s="7" t="inlineStr">
        <is>
          <t>https://www.facebook.com/ads/library/?id=4526442510936114</t>
        </is>
      </c>
    </row>
    <row r="328">
      <c r="A328" s="5" t="n">
        <v>307</v>
      </c>
      <c r="B328" s="5" t="inlineStr">
        <is>
          <t>Premium Property Pune</t>
        </is>
      </c>
      <c r="C328" s="5" t="inlineStr">
        <is>
          <t>Real Estate Developer (Location-Piggyback)</t>
        </is>
      </c>
      <c r="D328" s="5" t="inlineStr">
        <is>
          <t>Seasons Mall Pune</t>
        </is>
      </c>
      <c r="E328" s="5" t="inlineStr">
        <is>
          <t>Pune</t>
        </is>
      </c>
      <c r="F328" s="5" t="inlineStr">
        <is>
          <t>LIVE</t>
        </is>
      </c>
      <c r="G328" s="5" t="inlineStr">
        <is>
          <t>28 Aug 2026</t>
        </is>
      </c>
      <c r="H328" s="5" t="n">
        <v>5</v>
      </c>
      <c r="I328" s="5" t="inlineStr">
        <is>
          <t>Fresh Test (&lt;30d)</t>
        </is>
      </c>
      <c r="J328" s="5" t="inlineStr">
        <is>
          <t>Learn More</t>
        </is>
      </c>
      <c r="K328" s="6" t="inlineStr">
        <is>
          <t>🔥 Near Keshav Nagar - Kharadi Bridge Premium 2 &amp; 3 BHK homes starting at ₹85 Lakhs*  🏡 Iconic G+P+28 Towers ✨ 30+ Lifest</t>
        </is>
      </c>
      <c r="L328" s="6" t="inlineStr">
        <is>
          <t>🔥 Near Keshav Nagar - Kharadi Bridge Premium 2 &amp; 3 BHK homes starting at ₹85 Lakhs*  🏡 Iconic G+P+28 Towers ✨ 30+ Lifestyle Amenities 🏢 Grand Clubhouse 💰 Smart 10×10% Payment Plan  📍 Just 10 mins from EON IT Park &amp; World Trade Center 🛍️ 10 mins from Amanora Mall &amp; Seasons Mall ✈️ 30 mins from Pune International Airport  Live in one of Pune’s most sought-after locations with excellent connectivity to IT hubs, malls, schools &amp; everyday conveniences.  ⏳ Limited launch pricing available! 👉 En</t>
        </is>
      </c>
      <c r="M328" s="5" t="inlineStr">
        <is>
          <t>https://www.facebook.com/ads/library/?id=2256788088389236</t>
        </is>
      </c>
    </row>
    <row r="329">
      <c r="A329" s="7" t="n">
        <v>308</v>
      </c>
      <c r="B329" s="7" t="inlineStr">
        <is>
          <t>Pune Realestate Investment</t>
        </is>
      </c>
      <c r="C329" s="7" t="inlineStr">
        <is>
          <t>Real Estate Developer (Location-Piggyback)</t>
        </is>
      </c>
      <c r="D329" s="7" t="inlineStr">
        <is>
          <t>Seasons Mall Pune</t>
        </is>
      </c>
      <c r="E329" s="7" t="inlineStr">
        <is>
          <t>Pune</t>
        </is>
      </c>
      <c r="F329" s="7" t="inlineStr">
        <is>
          <t>LIVE</t>
        </is>
      </c>
      <c r="G329" s="7" t="inlineStr">
        <is>
          <t>28 Aug 2026</t>
        </is>
      </c>
      <c r="H329" s="7" t="n">
        <v>5</v>
      </c>
      <c r="I329" s="7" t="inlineStr">
        <is>
          <t>Fresh Test (&lt;30d)</t>
        </is>
      </c>
      <c r="J329" s="7" t="inlineStr">
        <is>
          <t>Learn More</t>
        </is>
      </c>
      <c r="K329" s="8" t="inlineStr">
        <is>
          <t>🏡 A Premium Address Designed for Elevated Living  Discover spacious 3, 3.5 &amp; 4 BHK Duplex Residences + Exclusive Penthou</t>
        </is>
      </c>
      <c r="L329" s="8" t="inlineStr">
        <is>
          <t>🏡 A Premium Address Designed for Elevated Living  Discover spacious 3, 3.5 &amp; 4 BHK Duplex Residences + Exclusive Penthouses in Magarpatta.  ✨ Starting from ₹2.20 Cr* 📐 Spacious layouts from 1270 – 2244 Sq. Ft.  🌿 80% Open Spaces 🏊 Rooftop Clubhouse &amp; Premium Gymnasium 🌅 Expansive Private Decks with Scenic Views 🎯 Kids’ Play Areas &amp; Lifestyle Amenities 📍 Prime Magarpatta Location | Near Seasons Mall  Experience a home designed around space, comfort and a premium lifestyle.  👉 Limited inve</t>
        </is>
      </c>
      <c r="M329" s="7" t="inlineStr">
        <is>
          <t>https://www.facebook.com/ads/library/?id=2765795660459752</t>
        </is>
      </c>
    </row>
    <row r="330">
      <c r="A330" s="5" t="n">
        <v>309</v>
      </c>
      <c r="B330" s="5" t="inlineStr">
        <is>
          <t>Ivana Jewels</t>
        </is>
      </c>
      <c r="C330" s="5" t="inlineStr">
        <is>
          <t>Other Advertiser (Event / Service / Direct-to-Consumer)</t>
        </is>
      </c>
      <c r="D330" s="5" t="inlineStr">
        <is>
          <t>Amanora Mall Pune</t>
        </is>
      </c>
      <c r="E330" s="5" t="inlineStr">
        <is>
          <t>Pune</t>
        </is>
      </c>
      <c r="F330" s="5" t="inlineStr">
        <is>
          <t>LIVE</t>
        </is>
      </c>
      <c r="G330" s="5" t="inlineStr">
        <is>
          <t>28 Aug 2026</t>
        </is>
      </c>
      <c r="H330" s="5" t="n">
        <v>5</v>
      </c>
      <c r="I330" s="5" t="inlineStr">
        <is>
          <t>Fresh Test (&lt;30d)</t>
        </is>
      </c>
      <c r="J330" s="5" t="inlineStr">
        <is>
          <t>Learn More</t>
        </is>
      </c>
      <c r="K330" s="6" t="inlineStr">
        <is>
          <t>50 cents Each.</t>
        </is>
      </c>
      <c r="L330" s="6" t="inlineStr">
        <is>
          <t>50 cents Each. Round Diamond Studs.  IGI Certified. 14KT or 18KT Gold. IGI/SGL Certified Lab Grown Diamonds Lifetime Buyback &amp; Exchange Lifetime Warranty  The kind of earrings you wear every day and never take off.  Store Location: Broadway- Kopa Mall &amp; Amanora Mall, Pune  Online: ivanajewels.com 0:00 / 0:16 IVANAJEWELS.COM Under 40,000 Earrings</t>
        </is>
      </c>
      <c r="M330" s="5" t="inlineStr">
        <is>
          <t>https://www.facebook.com/ads/library/?id=1132928232521513</t>
        </is>
      </c>
    </row>
    <row r="331">
      <c r="A331" s="7" t="n">
        <v>310</v>
      </c>
      <c r="B331" s="7" t="inlineStr">
        <is>
          <t>Ivana Jewels</t>
        </is>
      </c>
      <c r="C331" s="7" t="inlineStr">
        <is>
          <t>Other Advertiser (Event / Service / Direct-to-Consumer)</t>
        </is>
      </c>
      <c r="D331" s="7" t="inlineStr">
        <is>
          <t>Amanora Mall Pune</t>
        </is>
      </c>
      <c r="E331" s="7" t="inlineStr">
        <is>
          <t>Pune</t>
        </is>
      </c>
      <c r="F331" s="7" t="inlineStr">
        <is>
          <t>LIVE</t>
        </is>
      </c>
      <c r="G331" s="7" t="inlineStr">
        <is>
          <t>28 Aug 2026</t>
        </is>
      </c>
      <c r="H331" s="7" t="n">
        <v>5</v>
      </c>
      <c r="I331" s="7" t="inlineStr">
        <is>
          <t>Fresh Test (&lt;30d)</t>
        </is>
      </c>
      <c r="J331" s="7" t="inlineStr">
        <is>
          <t>Learn More</t>
        </is>
      </c>
      <c r="K331" s="8" t="inlineStr">
        <is>
          <t>1.50 Carat Round Brilliant Diamond Solitaire Ring  IGI Certified.</t>
        </is>
      </c>
      <c r="L331" s="8" t="inlineStr">
        <is>
          <t>1.50 Carat Round Brilliant Diamond Solitaire Ring  IGI Certified. 14KT or 18KT Gold. IGI/SGL Certified Lab Grown Diamonds Lifetime Buyback &amp; Exchange Lifetime Warranty  Store Location: Broadway- Kopa Mall &amp; Amanora Mall, Pune  Online: ivanajewels.com 0:00 / 0:20 IVANAJEWELS.COM Under 75,000 Ring</t>
        </is>
      </c>
      <c r="M331" s="7" t="inlineStr">
        <is>
          <t>https://www.facebook.com/ads/library/?id=1382637293464196</t>
        </is>
      </c>
    </row>
    <row r="332">
      <c r="A332" s="5" t="n">
        <v>311</v>
      </c>
      <c r="B332" s="5" t="inlineStr">
        <is>
          <t>Broadway Live</t>
        </is>
      </c>
      <c r="C332" s="5" t="inlineStr">
        <is>
          <t>Other Advertiser (Event / Service / Direct-to-Consumer)</t>
        </is>
      </c>
      <c r="D332" s="5" t="inlineStr">
        <is>
          <t>KOPA Mall Pune</t>
        </is>
      </c>
      <c r="E332" s="5" t="inlineStr">
        <is>
          <t>Pune</t>
        </is>
      </c>
      <c r="F332" s="5" t="inlineStr">
        <is>
          <t>LIVE</t>
        </is>
      </c>
      <c r="G332" s="5" t="inlineStr">
        <is>
          <t>28 Aug 2026</t>
        </is>
      </c>
      <c r="H332" s="5" t="n">
        <v>5</v>
      </c>
      <c r="I332" s="5" t="inlineStr">
        <is>
          <t>Fresh Test (&lt;30d)</t>
        </is>
      </c>
      <c r="J332" s="5" t="inlineStr">
        <is>
          <t>Learn More</t>
        </is>
      </c>
      <c r="K332" s="6" t="inlineStr">
        <is>
          <t>💪 More protein.</t>
        </is>
      </c>
      <c r="L332" s="6" t="inlineStr">
        <is>
          <t>💪 More protein. More performance. More value.  For a limited time, get a FREE Creatine worth ₹599 on the purchase of 1kg SuperYou Protein.  Made with fermented yeast protein, SuperYou delivers clean nutrition to support your fitness goals — without compromising on taste.  🔥 FREE Creatine worth ₹599  📍 Ground Floor, Ambience Mall, Vasant Kunj, Delhi 📍 Road No.2, Banjara Hills, Hyderabad 📍 Kopa Mall, Pune 📍 Hill Road, Bandra, Mumbai  Offer valid till stocks last.  [ SuperYou, SuperYou Protei</t>
        </is>
      </c>
      <c r="M332" s="5" t="inlineStr">
        <is>
          <t>https://www.facebook.com/ads/library/?id=938263652014008</t>
        </is>
      </c>
    </row>
    <row r="333">
      <c r="A333" s="7" t="n">
        <v>312</v>
      </c>
      <c r="B333" s="7" t="inlineStr">
        <is>
          <t>Broadway Live</t>
        </is>
      </c>
      <c r="C333" s="7" t="inlineStr">
        <is>
          <t>Other Advertiser (Event / Service / Direct-to-Consumer)</t>
        </is>
      </c>
      <c r="D333" s="7" t="inlineStr">
        <is>
          <t>KOPA Mall Pune</t>
        </is>
      </c>
      <c r="E333" s="7" t="inlineStr">
        <is>
          <t>Pune</t>
        </is>
      </c>
      <c r="F333" s="7" t="inlineStr">
        <is>
          <t>LIVE</t>
        </is>
      </c>
      <c r="G333" s="7" t="inlineStr">
        <is>
          <t>28 Aug 2026</t>
        </is>
      </c>
      <c r="H333" s="7" t="n">
        <v>5</v>
      </c>
      <c r="I333" s="7" t="inlineStr">
        <is>
          <t>Fresh Test (&lt;30d)</t>
        </is>
      </c>
      <c r="J333" s="7" t="inlineStr">
        <is>
          <t>Learn More</t>
        </is>
      </c>
      <c r="K333" s="8" t="inlineStr">
        <is>
          <t>✨ Your salon blowout just became an everyday routine.</t>
        </is>
      </c>
      <c r="L333" s="8" t="inlineStr">
        <is>
          <t>✨ Your salon blowout just became an everyday routine.  Meet the Winston 6-in-1 Hair Blow Brush—one tool to dry, smooth, curl, volumize &amp; style with ease.  📍 Available with FREE 2-hour delivery in Delhi NCR, Hyderabad, Pune &amp; Mumbai through Broadway.  📍 Ambience Mall, Vasant Kunj, Delhi 📍 Banjara Hills, Hyderabad 📍 Kopa Mall, Pune 📍 Hill Road, Bandra, Mumbai  ✨ Broadway Welcome Offer 🎉 Plus EXTRA 10% OFF on your first order.  Get the look you love—without the salon appointment.  [be neude,</t>
        </is>
      </c>
      <c r="M333" s="7" t="inlineStr">
        <is>
          <t>https://www.facebook.com/ads/library/?id=1390925489798048</t>
        </is>
      </c>
    </row>
    <row r="334">
      <c r="A334" s="5" t="n">
        <v>313</v>
      </c>
      <c r="B334" s="5" t="inlineStr">
        <is>
          <t>Broadway Live</t>
        </is>
      </c>
      <c r="C334" s="5" t="inlineStr">
        <is>
          <t>Other Advertiser (Event / Service / Direct-to-Consumer)</t>
        </is>
      </c>
      <c r="D334" s="5" t="inlineStr">
        <is>
          <t>KOPA Mall Pune</t>
        </is>
      </c>
      <c r="E334" s="5" t="inlineStr">
        <is>
          <t>Pune</t>
        </is>
      </c>
      <c r="F334" s="5" t="inlineStr">
        <is>
          <t>LIVE</t>
        </is>
      </c>
      <c r="G334" s="5" t="inlineStr">
        <is>
          <t>28 Aug 2026</t>
        </is>
      </c>
      <c r="H334" s="5" t="n">
        <v>5</v>
      </c>
      <c r="I334" s="5" t="inlineStr">
        <is>
          <t>Fresh Test (&lt;30d)</t>
        </is>
      </c>
      <c r="J334" s="5" t="inlineStr">
        <is>
          <t>Learn More</t>
        </is>
      </c>
      <c r="K334" s="6" t="inlineStr">
        <is>
          <t>💪 More protein.</t>
        </is>
      </c>
      <c r="L334" s="6" t="inlineStr">
        <is>
          <t>💪 More protein. More performance. More value.  For a limited time, get a FREE Creatine worth ₹599 on the purchase of 1kg SuperYou Protein.  Made with fermented yeast protein, SuperYou delivers clean nutrition to support your fitness goals — without compromising on taste.  🔥 FREE Creatine worth ₹599  📍 Ground Floor, Ambience Mall, Vasant Kunj, Delhi 📍 Road No.2, Banjara Hills, Hyderabad 📍 Kopa Mall, Pune 📍 Hill Road, Bandra, Mumbai  Offer valid till stocks last.  [ SuperYou, SuperYou Protei</t>
        </is>
      </c>
      <c r="M334" s="5" t="inlineStr">
        <is>
          <t>https://www.facebook.com/ads/library/?id=4021836224618495</t>
        </is>
      </c>
    </row>
    <row r="335">
      <c r="A335" s="7" t="n">
        <v>314</v>
      </c>
      <c r="B335" s="7" t="inlineStr">
        <is>
          <t>Broadway Live</t>
        </is>
      </c>
      <c r="C335" s="7" t="inlineStr">
        <is>
          <t>Other Advertiser (Event / Service / Direct-to-Consumer)</t>
        </is>
      </c>
      <c r="D335" s="7" t="inlineStr">
        <is>
          <t>KOPA Mall Pune</t>
        </is>
      </c>
      <c r="E335" s="7" t="inlineStr">
        <is>
          <t>Pune</t>
        </is>
      </c>
      <c r="F335" s="7" t="inlineStr">
        <is>
          <t>LIVE</t>
        </is>
      </c>
      <c r="G335" s="7" t="inlineStr">
        <is>
          <t>28 Aug 2026</t>
        </is>
      </c>
      <c r="H335" s="7" t="n">
        <v>5</v>
      </c>
      <c r="I335" s="7" t="inlineStr">
        <is>
          <t>Fresh Test (&lt;30d)</t>
        </is>
      </c>
      <c r="J335" s="7" t="inlineStr">
        <is>
          <t>Learn More</t>
        </is>
      </c>
      <c r="K335" s="8" t="inlineStr">
        <is>
          <t>✈️ Travel smarter with Mokobara UPTO 50% OFF  Upgrade your journeys with premium luggage designed for every trip.</t>
        </is>
      </c>
      <c r="L335" s="8" t="inlineStr">
        <is>
          <t>✈️ Travel smarter with Mokobara UPTO 50% OFF  Upgrade your journeys with premium luggage designed for every trip. Shop your favourite Mokobara travel essentials and enjoy exclusive savings.  🎁 Extra 10% OFF on your first Broadway order ⚡ FREE 2-Hour Delivery in Delhi NCR, Hyderabad, Pune &amp; Mumbai 📍 Ambience Mall, Vasant Kunj, Delhi 📍 Banjara Hills, Hyderabad 📍 Kopa Mall, Pune 📍 Hill Road, Bandra, Mumbai  Your next adventure starts here.  [ Mokobara, Luggage, Suitcase, Travel Bags, Cabin Lug</t>
        </is>
      </c>
      <c r="M335" s="7" t="inlineStr">
        <is>
          <t>https://www.facebook.com/ads/library/?id=3185450028320300</t>
        </is>
      </c>
    </row>
    <row r="336">
      <c r="A336" s="5" t="n">
        <v>315</v>
      </c>
      <c r="B336" s="5" t="inlineStr">
        <is>
          <t>Broadway Live</t>
        </is>
      </c>
      <c r="C336" s="5" t="inlineStr">
        <is>
          <t>Other Advertiser (Event / Service / Direct-to-Consumer)</t>
        </is>
      </c>
      <c r="D336" s="5" t="inlineStr">
        <is>
          <t>KOPA Mall Pune</t>
        </is>
      </c>
      <c r="E336" s="5" t="inlineStr">
        <is>
          <t>Pune</t>
        </is>
      </c>
      <c r="F336" s="5" t="inlineStr">
        <is>
          <t>LIVE</t>
        </is>
      </c>
      <c r="G336" s="5" t="inlineStr">
        <is>
          <t>28 Aug 2026</t>
        </is>
      </c>
      <c r="H336" s="5" t="n">
        <v>5</v>
      </c>
      <c r="I336" s="5" t="inlineStr">
        <is>
          <t>Fresh Test (&lt;30d)</t>
        </is>
      </c>
      <c r="J336" s="5" t="inlineStr">
        <is>
          <t>Learn More</t>
        </is>
      </c>
      <c r="K336" s="6" t="inlineStr">
        <is>
          <t>✨ Salon-style hair, without the salon visit.</t>
        </is>
      </c>
      <c r="L336" s="6" t="inlineStr">
        <is>
          <t>✨ Salon-style hair, without the salon visit.  Meet the Winston 4-in-1 Hair Blow Brush — designed to dry, volumize, smooth and style your hair with ease, all in one tool.  ✔ Steady Drying ✔ Volume &amp; Multi-Styling ✔ Effortless Curls  🚚 Free 2-Hour Delivery in Delhi NCR, Hyderabad, Mumbai &amp; Pune.  📍 Ground Floor, Ambience Mall, Vasant Kunj, Delhi 📍 Road No.2, Banjara Hills, Hyderabad 📍 Kopa Mall, Pune 📍 Hill Road, Bandra, Mumbai  [Hair styling, Blow dry brush, Hair tools, Frizz free hair, Salo</t>
        </is>
      </c>
      <c r="M336" s="5" t="inlineStr">
        <is>
          <t>https://www.facebook.com/ads/library/?id=1393959796187076</t>
        </is>
      </c>
    </row>
    <row r="337">
      <c r="A337" s="7" t="n">
        <v>316</v>
      </c>
      <c r="B337" s="7" t="inlineStr">
        <is>
          <t>Broadway Live</t>
        </is>
      </c>
      <c r="C337" s="7" t="inlineStr">
        <is>
          <t>Other Advertiser (Event / Service / Direct-to-Consumer)</t>
        </is>
      </c>
      <c r="D337" s="7" t="inlineStr">
        <is>
          <t>KOPA Mall Pune</t>
        </is>
      </c>
      <c r="E337" s="7" t="inlineStr">
        <is>
          <t>Pune</t>
        </is>
      </c>
      <c r="F337" s="7" t="inlineStr">
        <is>
          <t>LIVE</t>
        </is>
      </c>
      <c r="G337" s="7" t="inlineStr">
        <is>
          <t>28 Aug 2026</t>
        </is>
      </c>
      <c r="H337" s="7" t="n">
        <v>5</v>
      </c>
      <c r="I337" s="7" t="inlineStr">
        <is>
          <t>Fresh Test (&lt;30d)</t>
        </is>
      </c>
      <c r="J337" s="7" t="inlineStr">
        <is>
          <t>Learn More</t>
        </is>
      </c>
      <c r="K337" s="8" t="inlineStr">
        <is>
          <t>Build.</t>
        </is>
      </c>
      <c r="L337" s="8" t="inlineStr">
        <is>
          <t>Build. Recover. Perform Better. 💪  Fuel your everyday grind with Optimum Nutrition — premium protein for your workouts, recovery &amp; goals.  🎁 Extra 10% OFF on your first Broadway order ⚡ FREE 2-Hour Delivery in Delhi NCR, Hyderabad, Pune &amp; Mumbai 📍 Ambience Mall, Vasant Kunj, Delhi 📍 Banjara Hills, Hyderabad 📍 Kopa Mall, Pune 📍 Hill Road, Bandra, Mumbai  Shop Optimum Nutrition at Broadway — your curated destination for the best in fitness &amp; wellness.  [ Optimum Nutrition, Whey Protein, Prot</t>
        </is>
      </c>
      <c r="M337" s="7" t="inlineStr">
        <is>
          <t>https://www.facebook.com/ads/library/?id=1336131258301856</t>
        </is>
      </c>
    </row>
    <row r="338">
      <c r="A338" s="5" t="n">
        <v>317</v>
      </c>
      <c r="B338" s="5" t="inlineStr">
        <is>
          <t>Broadway Live</t>
        </is>
      </c>
      <c r="C338" s="5" t="inlineStr">
        <is>
          <t>Other Advertiser (Event / Service / Direct-to-Consumer)</t>
        </is>
      </c>
      <c r="D338" s="5" t="inlineStr">
        <is>
          <t>KOPA Mall Pune</t>
        </is>
      </c>
      <c r="E338" s="5" t="inlineStr">
        <is>
          <t>Pune</t>
        </is>
      </c>
      <c r="F338" s="5" t="inlineStr">
        <is>
          <t>LIVE</t>
        </is>
      </c>
      <c r="G338" s="5" t="inlineStr">
        <is>
          <t>28 Aug 2026</t>
        </is>
      </c>
      <c r="H338" s="5" t="n">
        <v>5</v>
      </c>
      <c r="I338" s="5" t="inlineStr">
        <is>
          <t>Fresh Test (&lt;30d)</t>
        </is>
      </c>
      <c r="J338" s="5" t="inlineStr">
        <is>
          <t>Learn More</t>
        </is>
      </c>
      <c r="K338" s="6" t="inlineStr">
        <is>
          <t>💪 Fuel your goals with premium protein.</t>
        </is>
      </c>
      <c r="L338" s="6" t="inlineStr">
        <is>
          <t>💪 Fuel your goals with premium protein.  Get your hands on Isopure 100% Whey Protein Isolate—crafted for lean muscle, faster recovery, and clean nutrition with zero compromise.  🎁 Extra 10% OFF on your first Broadway order ⚡ FREE 2-Hour Delivery in Delhi NCR, Hyderabad, Pune &amp; Mumbai 📍 Ambience Mall, Vasant Kunj, Delhi 📍 Banjara Hills, Hyderabad 📍 Kopa Mall, Pune 📍 Hill Road, Bandra, Mumbai  [ Isopure, Whey Protein Isolate, Protein Powder, Lean Muscle, Gym Supplements, Sports Nutrition, Re</t>
        </is>
      </c>
      <c r="M338" s="5" t="inlineStr">
        <is>
          <t>https://www.facebook.com/ads/library/?id=1720593786067718</t>
        </is>
      </c>
    </row>
    <row r="339">
      <c r="A339" s="7" t="n">
        <v>318</v>
      </c>
      <c r="B339" s="7" t="inlineStr">
        <is>
          <t>Broadway Live</t>
        </is>
      </c>
      <c r="C339" s="7" t="inlineStr">
        <is>
          <t>Other Advertiser (Event / Service / Direct-to-Consumer)</t>
        </is>
      </c>
      <c r="D339" s="7" t="inlineStr">
        <is>
          <t>KOPA Mall Pune</t>
        </is>
      </c>
      <c r="E339" s="7" t="inlineStr">
        <is>
          <t>Pune</t>
        </is>
      </c>
      <c r="F339" s="7" t="inlineStr">
        <is>
          <t>LIVE</t>
        </is>
      </c>
      <c r="G339" s="7" t="inlineStr">
        <is>
          <t>28 Aug 2026</t>
        </is>
      </c>
      <c r="H339" s="7" t="n">
        <v>5</v>
      </c>
      <c r="I339" s="7" t="inlineStr">
        <is>
          <t>Fresh Test (&lt;30d)</t>
        </is>
      </c>
      <c r="J339" s="7" t="inlineStr">
        <is>
          <t>Learn More</t>
        </is>
      </c>
      <c r="K339" s="8" t="inlineStr">
        <is>
          <t>✈️ Travel smarter with Mokobara UPTO 50% OFF  Upgrade your journeys with premium luggage designed for every trip.</t>
        </is>
      </c>
      <c r="L339" s="8" t="inlineStr">
        <is>
          <t>✈️ Travel smarter with Mokobara UPTO 50% OFF  Upgrade your journeys with premium luggage designed for every trip. Shop your favourite Mokobara travel essentials and enjoy exclusive savings.  🎁 Extra 10% OFF on your first Broadway order ⚡ FREE 2-Hour Delivery in Delhi NCR, Hyderabad, Pune &amp; Mumbai 📍 Ambience Mall, Vasant Kunj, Delhi 📍 Banjara Hills, Hyderabad 📍 Kopa Mall, Pune 📍 Hill Road, Bandra, Mumbai  Your next adventure starts here.  [ Mokobara, Luggage, Suitcase, Travel Bags, Cabin Lug</t>
        </is>
      </c>
      <c r="M339" s="7" t="inlineStr">
        <is>
          <t>https://www.facebook.com/ads/library/?id=1980652972596579</t>
        </is>
      </c>
    </row>
    <row r="340">
      <c r="A340" s="5" t="n">
        <v>319</v>
      </c>
      <c r="B340" s="5" t="inlineStr">
        <is>
          <t>Broadway Live</t>
        </is>
      </c>
      <c r="C340" s="5" t="inlineStr">
        <is>
          <t>Other Advertiser (Event / Service / Direct-to-Consumer)</t>
        </is>
      </c>
      <c r="D340" s="5" t="inlineStr">
        <is>
          <t>KOPA Mall Pune</t>
        </is>
      </c>
      <c r="E340" s="5" t="inlineStr">
        <is>
          <t>Pune</t>
        </is>
      </c>
      <c r="F340" s="5" t="inlineStr">
        <is>
          <t>LIVE</t>
        </is>
      </c>
      <c r="G340" s="5" t="inlineStr">
        <is>
          <t>28 Aug 2026</t>
        </is>
      </c>
      <c r="H340" s="5" t="n">
        <v>5</v>
      </c>
      <c r="I340" s="5" t="inlineStr">
        <is>
          <t>Fresh Test (&lt;30d)</t>
        </is>
      </c>
      <c r="J340" s="5" t="inlineStr">
        <is>
          <t>Learn More</t>
        </is>
      </c>
      <c r="K340" s="6" t="inlineStr">
        <is>
          <t>💪 More protein.</t>
        </is>
      </c>
      <c r="L340" s="6" t="inlineStr">
        <is>
          <t>💪 More protein. More performance. More value.  For a limited time, get a FREE Creatine worth ₹599 on the purchase of 1kg SuperYou Protein.  Made with fermented yeast protein, SuperYou delivers clean nutrition to support your fitness goals — without compromising on taste.  🔥 FREE Creatine worth ₹599  📍 Ground Floor, Ambience Mall, Vasant Kunj, Delhi 📍 Road No.2, Banjara Hills, Hyderabad 📍 Kopa Mall, Pune 📍 Hill Road, Bandra, Mumbai  Offer valid till stocks last.  [ SuperYou, SuperYou Protei</t>
        </is>
      </c>
      <c r="M340" s="5" t="inlineStr">
        <is>
          <t>https://www.facebook.com/ads/library/?id=1716855082881277</t>
        </is>
      </c>
    </row>
    <row r="341">
      <c r="A341" s="7" t="n">
        <v>320</v>
      </c>
      <c r="B341" s="7" t="inlineStr">
        <is>
          <t>Broadway Live</t>
        </is>
      </c>
      <c r="C341" s="7" t="inlineStr">
        <is>
          <t>Other Advertiser (Event / Service / Direct-to-Consumer)</t>
        </is>
      </c>
      <c r="D341" s="7" t="inlineStr">
        <is>
          <t>KOPA Mall Pune</t>
        </is>
      </c>
      <c r="E341" s="7" t="inlineStr">
        <is>
          <t>Pune</t>
        </is>
      </c>
      <c r="F341" s="7" t="inlineStr">
        <is>
          <t>LIVE</t>
        </is>
      </c>
      <c r="G341" s="7" t="inlineStr">
        <is>
          <t>28 Aug 2026</t>
        </is>
      </c>
      <c r="H341" s="7" t="n">
        <v>5</v>
      </c>
      <c r="I341" s="7" t="inlineStr">
        <is>
          <t>Fresh Test (&lt;30d)</t>
        </is>
      </c>
      <c r="J341" s="7" t="inlineStr">
        <is>
          <t>Learn More</t>
        </is>
      </c>
      <c r="K341" s="8" t="inlineStr">
        <is>
          <t>✨ Salon-style hair, without the salon visit.</t>
        </is>
      </c>
      <c r="L341" s="8" t="inlineStr">
        <is>
          <t>✨ Salon-style hair, without the salon visit.  Meet the Winston 4-in-1 Hair Blow Brush — designed to dry, volumize, smooth and style your hair with ease, all in one tool.  ✔ Steady Drying ✔ Volume &amp; Multi-Styling ✔ Effortless Curls  🚚 Free 2-Hour Delivery in Delhi NCR, Hyderabad, Mumbai &amp; Pune.  📍 Ground Floor, Ambience Mall, Vasant Kunj, Delhi 📍 Road No.2, Banjara Hills, Hyderabad 📍 Kopa Mall, Pune 📍 Hill Road, Bandra, Mumbai  [Hair styling, Blow dry brush, Hair tools, Frizz free hair, Salo</t>
        </is>
      </c>
      <c r="M341" s="7" t="inlineStr">
        <is>
          <t>https://www.facebook.com/ads/library/?id=1091653210110983</t>
        </is>
      </c>
    </row>
    <row r="342">
      <c r="A342" s="5" t="n">
        <v>321</v>
      </c>
      <c r="B342" s="5" t="inlineStr">
        <is>
          <t>Broadway Live</t>
        </is>
      </c>
      <c r="C342" s="5" t="inlineStr">
        <is>
          <t>Other Advertiser (Event / Service / Direct-to-Consumer)</t>
        </is>
      </c>
      <c r="D342" s="5" t="inlineStr">
        <is>
          <t>KOPA Mall Pune</t>
        </is>
      </c>
      <c r="E342" s="5" t="inlineStr">
        <is>
          <t>Pune</t>
        </is>
      </c>
      <c r="F342" s="5" t="inlineStr">
        <is>
          <t>LIVE</t>
        </is>
      </c>
      <c r="G342" s="5" t="inlineStr">
        <is>
          <t>28 Aug 2026</t>
        </is>
      </c>
      <c r="H342" s="5" t="n">
        <v>5</v>
      </c>
      <c r="I342" s="5" t="inlineStr">
        <is>
          <t>Fresh Test (&lt;30d)</t>
        </is>
      </c>
      <c r="J342" s="5" t="inlineStr">
        <is>
          <t>Learn More</t>
        </is>
      </c>
      <c r="K342" s="6" t="inlineStr">
        <is>
          <t>✨ Salon-style hair, without the salon visit.</t>
        </is>
      </c>
      <c r="L342" s="6" t="inlineStr">
        <is>
          <t>✨ Salon-style hair, without the salon visit.  Meet the Winston 4-in-1 Hair Blow Brush — designed to dry, volumize, smooth and style your hair with ease, all in one tool.  ✔ Steady Drying ✔ Volume &amp; Multi-Styling ✔ Effortless Curls  🚚 Free 2-Hour Delivery in Delhi NCR, Hyderabad, Mumbai &amp; Pune.  📍 Ground Floor, Ambience Mall, Vasant Kunj, Delhi 📍 Road No.2, Banjara Hills, Hyderabad 📍 Kopa Mall, Pune 📍 Hill Road, Bandra, Mumbai  [Hair styling, Blow dry brush, Hair tools, Frizz free hair, Salo</t>
        </is>
      </c>
      <c r="M342" s="5" t="inlineStr">
        <is>
          <t>https://www.facebook.com/ads/library/?id=1332633168679114</t>
        </is>
      </c>
    </row>
    <row r="343">
      <c r="A343" s="7" t="n">
        <v>322</v>
      </c>
      <c r="B343" s="7" t="inlineStr">
        <is>
          <t>Broadway Live</t>
        </is>
      </c>
      <c r="C343" s="7" t="inlineStr">
        <is>
          <t>Other Advertiser (Event / Service / Direct-to-Consumer)</t>
        </is>
      </c>
      <c r="D343" s="7" t="inlineStr">
        <is>
          <t>KOPA Mall Pune</t>
        </is>
      </c>
      <c r="E343" s="7" t="inlineStr">
        <is>
          <t>Pune</t>
        </is>
      </c>
      <c r="F343" s="7" t="inlineStr">
        <is>
          <t>LIVE</t>
        </is>
      </c>
      <c r="G343" s="7" t="inlineStr">
        <is>
          <t>28 Aug 2026</t>
        </is>
      </c>
      <c r="H343" s="7" t="n">
        <v>5</v>
      </c>
      <c r="I343" s="7" t="inlineStr">
        <is>
          <t>Fresh Test (&lt;30d)</t>
        </is>
      </c>
      <c r="J343" s="7" t="inlineStr">
        <is>
          <t>Learn More</t>
        </is>
      </c>
      <c r="K343" s="8" t="inlineStr">
        <is>
          <t>Build.</t>
        </is>
      </c>
      <c r="L343" s="8" t="inlineStr">
        <is>
          <t>Build. Recover. Perform Better. 💪  Fuel your everyday grind with Optimum Nutrition — premium protein for your workouts, recovery &amp; goals.  🎁 Extra 10% OFF on your first Broadway order ⚡ FREE 2-Hour Delivery in Delhi NCR, Hyderabad, Pune &amp; Mumbai 📍 Ambience Mall, Vasant Kunj, Delhi 📍 Banjara Hills, Hyderabad 📍 Kopa Mall, Pune 📍 Hill Road, Bandra, Mumbai  Shop Optimum Nutrition at Broadway — your curated destination for the best in fitness &amp; wellness.  [ Optimum Nutrition, Whey Protein, Prot</t>
        </is>
      </c>
      <c r="M343" s="7" t="inlineStr">
        <is>
          <t>https://www.facebook.com/ads/library/?id=4335119046753858</t>
        </is>
      </c>
    </row>
    <row r="344">
      <c r="A344" s="5" t="n">
        <v>323</v>
      </c>
      <c r="B344" s="5" t="inlineStr">
        <is>
          <t>Broadway Live</t>
        </is>
      </c>
      <c r="C344" s="5" t="inlineStr">
        <is>
          <t>Other Advertiser (Event / Service / Direct-to-Consumer)</t>
        </is>
      </c>
      <c r="D344" s="5" t="inlineStr">
        <is>
          <t>KOPA Mall Pune</t>
        </is>
      </c>
      <c r="E344" s="5" t="inlineStr">
        <is>
          <t>Pune</t>
        </is>
      </c>
      <c r="F344" s="5" t="inlineStr">
        <is>
          <t>LIVE</t>
        </is>
      </c>
      <c r="G344" s="5" t="inlineStr">
        <is>
          <t>28 Aug 2026</t>
        </is>
      </c>
      <c r="H344" s="5" t="n">
        <v>5</v>
      </c>
      <c r="I344" s="5" t="inlineStr">
        <is>
          <t>Fresh Test (&lt;30d)</t>
        </is>
      </c>
      <c r="J344" s="5" t="inlineStr">
        <is>
          <t>Learn More</t>
        </is>
      </c>
      <c r="K344" s="6" t="inlineStr">
        <is>
          <t>Step up your sneaker game with Comet.</t>
        </is>
      </c>
      <c r="L344" s="6" t="inlineStr">
        <is>
          <t>Step up your sneaker game with Comet. 👟✨  Designed for everyday movement with a statement-making edge, Comet sneakers bring together style, comfort and effortless versatility.   Shop Comet at Broadway with FREE 2-hour delivery across Delhi NCR, Hyderabad &amp; Pune. 📍 Ambience Mall, Vasant Kunj, Delhi 📍 Banjara Hills, Hyderabad 📍 Kopa Mall , Pune  [ Comet Sneakers, Sneakers, Everyday Sneakers, Casual Sneakers, Lifestyle Sneakers, Streetwear, Sneaker Style, Sneakerheads, Everyday Style, Footwear,</t>
        </is>
      </c>
      <c r="M344" s="5" t="inlineStr">
        <is>
          <t>https://www.facebook.com/ads/library/?id=1038986092264342</t>
        </is>
      </c>
    </row>
    <row r="345">
      <c r="A345" s="7" t="n">
        <v>324</v>
      </c>
      <c r="B345" s="7" t="inlineStr">
        <is>
          <t>Broadway Live</t>
        </is>
      </c>
      <c r="C345" s="7" t="inlineStr">
        <is>
          <t>Other Advertiser (Event / Service / Direct-to-Consumer)</t>
        </is>
      </c>
      <c r="D345" s="7" t="inlineStr">
        <is>
          <t>KOPA Mall Pune</t>
        </is>
      </c>
      <c r="E345" s="7" t="inlineStr">
        <is>
          <t>Pune</t>
        </is>
      </c>
      <c r="F345" s="7" t="inlineStr">
        <is>
          <t>LIVE</t>
        </is>
      </c>
      <c r="G345" s="7" t="inlineStr">
        <is>
          <t>28 Aug 2026</t>
        </is>
      </c>
      <c r="H345" s="7" t="n">
        <v>5</v>
      </c>
      <c r="I345" s="7" t="inlineStr">
        <is>
          <t>Fresh Test (&lt;30d)</t>
        </is>
      </c>
      <c r="J345" s="7" t="inlineStr">
        <is>
          <t>Learn More</t>
        </is>
      </c>
      <c r="K345" s="8" t="inlineStr">
        <is>
          <t>✈️ Travel smarter with Mokobara UPTO 50% OFF  Upgrade your journeys with premium luggage designed for every trip.</t>
        </is>
      </c>
      <c r="L345" s="8" t="inlineStr">
        <is>
          <t>✈️ Travel smarter with Mokobara UPTO 50% OFF  Upgrade your journeys with premium luggage designed for every trip. Shop your favourite Mokobara travel essentials and enjoy exclusive savings.  🎁 Extra 10% OFF on your first Broadway order ⚡ FREE 2-Hour Delivery in Delhi NCR, Hyderabad, Pune &amp; Mumbai 📍 Ambience Mall, Vasant Kunj, Delhi 📍 Banjara Hills, Hyderabad 📍 Kopa Mall, Pune 📍 Hill Road, Bandra, Mumbai  Your next adventure starts here.  [ Mokobara, Luggage, Suitcase, Travel Bags, Cabin Lug</t>
        </is>
      </c>
      <c r="M345" s="7" t="inlineStr">
        <is>
          <t>https://www.facebook.com/ads/library/?id=1421539076747384</t>
        </is>
      </c>
    </row>
    <row r="346">
      <c r="A346" s="5" t="n">
        <v>325</v>
      </c>
      <c r="B346" s="5" t="inlineStr">
        <is>
          <t>Broadway Live</t>
        </is>
      </c>
      <c r="C346" s="5" t="inlineStr">
        <is>
          <t>Other Advertiser (Event / Service / Direct-to-Consumer)</t>
        </is>
      </c>
      <c r="D346" s="5" t="inlineStr">
        <is>
          <t>KOPA Mall Pune</t>
        </is>
      </c>
      <c r="E346" s="5" t="inlineStr">
        <is>
          <t>Pune</t>
        </is>
      </c>
      <c r="F346" s="5" t="inlineStr">
        <is>
          <t>LIVE</t>
        </is>
      </c>
      <c r="G346" s="5" t="inlineStr">
        <is>
          <t>28 Aug 2026</t>
        </is>
      </c>
      <c r="H346" s="5" t="n">
        <v>5</v>
      </c>
      <c r="I346" s="5" t="inlineStr">
        <is>
          <t>Fresh Test (&lt;30d)</t>
        </is>
      </c>
      <c r="J346" s="5" t="inlineStr">
        <is>
          <t>Learn More</t>
        </is>
      </c>
      <c r="K346" s="6" t="inlineStr">
        <is>
          <t>Fuel your fitness goals with MuscleBlaze 💪  Shop premium whey protein, pre-workout, creatine, mass gainers &amp; more—all in</t>
        </is>
      </c>
      <c r="L346" s="6" t="inlineStr">
        <is>
          <t>Fuel your fitness goals with MuscleBlaze 💪  Shop premium whey protein, pre-workout, creatine, mass gainers &amp; more—all in one place at Broadway.  ✨ Extra 10% OFF on your first Broadway order ⚡ FREE 2-Hour Delivery in Delhi NCR, Hyderabad, Pune &amp; Mumbai.  📍 Road No.2, Banjara Hills, Hyderabad  📍 Ground Floor, Ambience Mall, Vasant Kunj, Delhi  📍 Kopa Mall, Pune 📍 Bandra, Bombay  Your post-workout shake deserves an upgrade. Grab your MuscleBlaze favorite before the offer is gone.  [MuscleBlaze</t>
        </is>
      </c>
      <c r="M346" s="5" t="inlineStr">
        <is>
          <t>https://www.facebook.com/ads/library/?id=4407198459530176</t>
        </is>
      </c>
    </row>
    <row r="347">
      <c r="A347" s="7" t="n">
        <v>326</v>
      </c>
      <c r="B347" s="7" t="inlineStr">
        <is>
          <t>Broadway Live</t>
        </is>
      </c>
      <c r="C347" s="7" t="inlineStr">
        <is>
          <t>Other Advertiser (Event / Service / Direct-to-Consumer)</t>
        </is>
      </c>
      <c r="D347" s="7" t="inlineStr">
        <is>
          <t>KOPA Mall Pune</t>
        </is>
      </c>
      <c r="E347" s="7" t="inlineStr">
        <is>
          <t>Pune</t>
        </is>
      </c>
      <c r="F347" s="7" t="inlineStr">
        <is>
          <t>LIVE</t>
        </is>
      </c>
      <c r="G347" s="7" t="inlineStr">
        <is>
          <t>28 Aug 2026</t>
        </is>
      </c>
      <c r="H347" s="7" t="n">
        <v>5</v>
      </c>
      <c r="I347" s="7" t="inlineStr">
        <is>
          <t>Fresh Test (&lt;30d)</t>
        </is>
      </c>
      <c r="J347" s="7" t="inlineStr">
        <is>
          <t>Learn More</t>
        </is>
      </c>
      <c r="K347" s="8" t="inlineStr">
        <is>
          <t>Step up your sneaker game with Comet.</t>
        </is>
      </c>
      <c r="L347" s="8" t="inlineStr">
        <is>
          <t>Step up your sneaker game with Comet. 👟✨  Designed for everyday movement with a statement-making edge, Comet sneakers bring together style, comfort and effortless versatility.   Shop Comet at Broadway with FREE 2-hour delivery across Delhi NCR, Hyderabad &amp; Pune. 📍 Ambience Mall, Vasant Kunj, Delhi 📍 Banjara Hills, Hyderabad 📍 Kopa Mall , Pune  [ Comet Sneakers, Sneakers, Everyday Sneakers, Casual Sneakers, Lifestyle Sneakers, Streetwear, Sneaker Style, Sneakerheads, Everyday Style, Footwear,</t>
        </is>
      </c>
      <c r="M347" s="7" t="inlineStr">
        <is>
          <t>https://www.facebook.com/ads/library/?id=1710173813400700</t>
        </is>
      </c>
    </row>
    <row r="348">
      <c r="A348" s="5" t="n">
        <v>327</v>
      </c>
      <c r="B348" s="5" t="inlineStr">
        <is>
          <t>Ivana Jewels</t>
        </is>
      </c>
      <c r="C348" s="5" t="inlineStr">
        <is>
          <t>Other Advertiser (Event / Service / Direct-to-Consumer)</t>
        </is>
      </c>
      <c r="D348" s="5" t="inlineStr">
        <is>
          <t>KOPA Mall Pune</t>
        </is>
      </c>
      <c r="E348" s="5" t="inlineStr">
        <is>
          <t>Pune</t>
        </is>
      </c>
      <c r="F348" s="5" t="inlineStr">
        <is>
          <t>LIVE</t>
        </is>
      </c>
      <c r="G348" s="5" t="inlineStr">
        <is>
          <t>28 Aug 2026</t>
        </is>
      </c>
      <c r="H348" s="5" t="n">
        <v>5</v>
      </c>
      <c r="I348" s="5" t="inlineStr">
        <is>
          <t>Fresh Test (&lt;30d)</t>
        </is>
      </c>
      <c r="J348" s="5" t="inlineStr">
        <is>
          <t>Learn More</t>
        </is>
      </c>
      <c r="K348" s="6" t="inlineStr">
        <is>
          <t>1.04 Carat Brilliant Round Diamond Engagement Ring  IGI Certified.</t>
        </is>
      </c>
      <c r="L348" s="6" t="inlineStr">
        <is>
          <t>1.04 Carat Brilliant Round Diamond Engagement Ring  IGI Certified. 14KT or 18KT Gold. IGI/SGL Certified Lab Grown Diamonds Lifetime Buyback &amp; Exchange Lifetime Warranty  Store Location: Broadway- Kopa Mall &amp; Amanora Mall, Pune  Online: ivanajewels.com 0:00 / 0:18 IVANAJEWELS.COM Under 70,000 Ring</t>
        </is>
      </c>
      <c r="M348" s="5" t="inlineStr">
        <is>
          <t>https://www.facebook.com/ads/library/?id=1032611246203431</t>
        </is>
      </c>
    </row>
    <row r="349">
      <c r="A349" s="7" t="n">
        <v>328</v>
      </c>
      <c r="B349" s="7" t="inlineStr">
        <is>
          <t>Broadway Live</t>
        </is>
      </c>
      <c r="C349" s="7" t="inlineStr">
        <is>
          <t>Other Advertiser (Event / Service / Direct-to-Consumer)</t>
        </is>
      </c>
      <c r="D349" s="7" t="inlineStr">
        <is>
          <t>KOPA Mall Pune</t>
        </is>
      </c>
      <c r="E349" s="7" t="inlineStr">
        <is>
          <t>Pune</t>
        </is>
      </c>
      <c r="F349" s="7" t="inlineStr">
        <is>
          <t>LIVE</t>
        </is>
      </c>
      <c r="G349" s="7" t="inlineStr">
        <is>
          <t>28 Aug 2026</t>
        </is>
      </c>
      <c r="H349" s="7" t="n">
        <v>5</v>
      </c>
      <c r="I349" s="7" t="inlineStr">
        <is>
          <t>Fresh Test (&lt;30d)</t>
        </is>
      </c>
      <c r="J349" s="7" t="inlineStr">
        <is>
          <t>Learn More</t>
        </is>
      </c>
      <c r="K349" s="8" t="inlineStr">
        <is>
          <t>Fuel your fitness goals with MuscleBlaze 💪  Shop premium whey protein, pre-workout, creatine, mass gainers &amp; more—all in</t>
        </is>
      </c>
      <c r="L349" s="8" t="inlineStr">
        <is>
          <t>Fuel your fitness goals with MuscleBlaze 💪  Shop premium whey protein, pre-workout, creatine, mass gainers &amp; more—all in one place at Broadway.  ✨ Extra 10% OFF on your first Broadway order ⚡ FREE 2-Hour Delivery in Delhi NCR, Hyderabad, Pune &amp; Mumbai.  📍 Road No.2, Banjara Hills, Hyderabad  📍 Ground Floor, Ambience Mall, Vasant Kunj, Delhi  📍 Kopa Mall, Pune 📍 Bandra, Bombay  Your post-workout shake deserves an upgrade. Grab your MuscleBlaze favorite before the offer is gone.  [MuscleBlaze</t>
        </is>
      </c>
      <c r="M349" s="7" t="inlineStr">
        <is>
          <t>https://www.facebook.com/ads/library/?id=1050760077667578</t>
        </is>
      </c>
    </row>
    <row r="350">
      <c r="A350" s="5" t="n">
        <v>329</v>
      </c>
      <c r="B350" s="5" t="inlineStr">
        <is>
          <t>Broadway Live</t>
        </is>
      </c>
      <c r="C350" s="5" t="inlineStr">
        <is>
          <t>Other Advertiser (Event / Service / Direct-to-Consumer)</t>
        </is>
      </c>
      <c r="D350" s="5" t="inlineStr">
        <is>
          <t>KOPA Mall Pune</t>
        </is>
      </c>
      <c r="E350" s="5" t="inlineStr">
        <is>
          <t>Pune</t>
        </is>
      </c>
      <c r="F350" s="5" t="inlineStr">
        <is>
          <t>LIVE</t>
        </is>
      </c>
      <c r="G350" s="5" t="inlineStr">
        <is>
          <t>28 Aug 2026</t>
        </is>
      </c>
      <c r="H350" s="5" t="n">
        <v>5</v>
      </c>
      <c r="I350" s="5" t="inlineStr">
        <is>
          <t>Fresh Test (&lt;30d)</t>
        </is>
      </c>
      <c r="J350" s="5" t="inlineStr">
        <is>
          <t>Learn More</t>
        </is>
      </c>
      <c r="K350" s="6" t="inlineStr">
        <is>
          <t>Step up your sneaker game with Comet.</t>
        </is>
      </c>
      <c r="L350" s="6" t="inlineStr">
        <is>
          <t>Step up your sneaker game with Comet. 👟✨  Designed for everyday movement with a statement-making edge, Comet sneakers bring together style, comfort and effortless versatility.   Shop Comet at Broadway with FREE 2-hour delivery across Delhi NCR, Hyderabad &amp; Pune. 📍 Ambience Mall, Vasant Kunj, Delhi 📍 Banjara Hills, Hyderabad 📍 Kopa Mall , Pune  [ Comet Sneakers, Sneakers, Everyday Sneakers, Casual Sneakers, Lifestyle Sneakers, Streetwear, Sneaker Style, Sneakerheads, Everyday Style, Footwear,</t>
        </is>
      </c>
      <c r="M350" s="5" t="inlineStr">
        <is>
          <t>https://www.facebook.com/ads/library/?id=1044461328483286</t>
        </is>
      </c>
    </row>
    <row r="351">
      <c r="A351" s="7" t="n">
        <v>330</v>
      </c>
      <c r="B351" s="7" t="inlineStr">
        <is>
          <t>Broadway Live</t>
        </is>
      </c>
      <c r="C351" s="7" t="inlineStr">
        <is>
          <t>Other Advertiser (Event / Service / Direct-to-Consumer)</t>
        </is>
      </c>
      <c r="D351" s="7" t="inlineStr">
        <is>
          <t>KOPA Mall Pune</t>
        </is>
      </c>
      <c r="E351" s="7" t="inlineStr">
        <is>
          <t>Pune</t>
        </is>
      </c>
      <c r="F351" s="7" t="inlineStr">
        <is>
          <t>off</t>
        </is>
      </c>
      <c r="G351" s="7" t="inlineStr">
        <is>
          <t>28 Aug 2026</t>
        </is>
      </c>
      <c r="H351" s="7" t="n">
        <v>5</v>
      </c>
      <c r="I351" s="7" t="inlineStr">
        <is>
          <t>Fresh Test (&lt;30d)</t>
        </is>
      </c>
      <c r="J351" s="7" t="inlineStr">
        <is>
          <t>Learn More</t>
        </is>
      </c>
      <c r="K351" s="8" t="inlineStr">
        <is>
          <t>Fuel your fitness goals with MuscleBlaze 💪  Shop premium whey protein, pre-workout, creatine, mass gainers &amp; more—all in</t>
        </is>
      </c>
      <c r="L351" s="8" t="inlineStr">
        <is>
          <t>Fuel your fitness goals with MuscleBlaze 💪  Shop premium whey protein, pre-workout, creatine, mass gainers &amp; more—all in one place at Broadway.  ✨ Extra 10% OFF on your first Broadway order ⚡ FREE 2-Hour Delivery in Delhi NCR, Hyderabad, Pune &amp; Mumbai.  📍 Road No.2, Banjara Hills, Hyderabad  📍 Ground Floor, Ambience Mall, Vasant Kunj, Delhi  📍 Kopa Mall, Pune 📍 Bandra, Bombay  Your post-workout shake deserves an upgrade. Grab your MuscleBlaze favorite before the offer is gone.  [MuscleBlaze</t>
        </is>
      </c>
      <c r="M351" s="7" t="inlineStr">
        <is>
          <t>https://www.facebook.com/ads/library/?id=1377433327305322</t>
        </is>
      </c>
    </row>
    <row r="352">
      <c r="A352" s="5" t="n">
        <v>331</v>
      </c>
      <c r="B352" s="5" t="inlineStr">
        <is>
          <t>Godrej Kukatpally, New Launch, Hyderabad</t>
        </is>
      </c>
      <c r="C352" s="5" t="inlineStr">
        <is>
          <t>Real Estate Developer (Location-Piggyback)</t>
        </is>
      </c>
      <c r="D352" s="5" t="inlineStr">
        <is>
          <t>Nexus Hyderabad Mall</t>
        </is>
      </c>
      <c r="E352" s="5" t="inlineStr">
        <is>
          <t>Hyderabad</t>
        </is>
      </c>
      <c r="F352" s="5" t="inlineStr">
        <is>
          <t>LIVE</t>
        </is>
      </c>
      <c r="G352" s="5" t="inlineStr">
        <is>
          <t>28 Aug 2026</t>
        </is>
      </c>
      <c r="H352" s="5" t="n">
        <v>5</v>
      </c>
      <c r="I352" s="5" t="inlineStr">
        <is>
          <t>Fresh Test (&lt;30d)</t>
        </is>
      </c>
      <c r="J352" s="5" t="inlineStr">
        <is>
          <t>Get Offer</t>
        </is>
      </c>
      <c r="K352" s="6" t="inlineStr">
        <is>
          <t>Make every square foot feel considered.</t>
        </is>
      </c>
      <c r="L352" s="6" t="inlineStr">
        <is>
          <t>Make every square foot feel considered. Discover spacious living at Godrej Brooklyn Avenue with 3 BHK Luxe homes of 1,587 sq. ft*. from ₹1.98 Cr.* and 4 BHK Grande homes of 3,213 sq. ft.* from ₹4.01 Cr.*.  ✓ Exclusive Launch Offers And Reserve Your Home Today* ✓ New Launch In Hyderabad ✓ Spacious 3 &amp; 4 BHK Residences ✓ Vastu-Compliant Home Layouts ✓ Large Balconies To Extend Everyday Living ✓ Corner Units For Added Light &amp; Ventilation ✓ Thoughtfully Planned Living Spaces ✓ Premium Specifications</t>
        </is>
      </c>
      <c r="M352" s="5" t="inlineStr">
        <is>
          <t>https://www.facebook.com/ads/library/?id=1108919555016106</t>
        </is>
      </c>
    </row>
    <row r="353">
      <c r="A353" s="7" t="n">
        <v>332</v>
      </c>
      <c r="B353" s="7" t="inlineStr">
        <is>
          <t>Godrej Kukatpally, New Launch, Hyderabad</t>
        </is>
      </c>
      <c r="C353" s="7" t="inlineStr">
        <is>
          <t>Real Estate Developer (Location-Piggyback)</t>
        </is>
      </c>
      <c r="D353" s="7" t="inlineStr">
        <is>
          <t>Nexus Hyderabad Mall</t>
        </is>
      </c>
      <c r="E353" s="7" t="inlineStr">
        <is>
          <t>Hyderabad</t>
        </is>
      </c>
      <c r="F353" s="7" t="inlineStr">
        <is>
          <t>off</t>
        </is>
      </c>
      <c r="G353" s="7" t="inlineStr">
        <is>
          <t>28 Aug 2026</t>
        </is>
      </c>
      <c r="H353" s="7" t="n">
        <v>5</v>
      </c>
      <c r="I353" s="7" t="inlineStr">
        <is>
          <t>Fresh Test (&lt;30d)</t>
        </is>
      </c>
      <c r="J353" s="7" t="inlineStr">
        <is>
          <t>Get Offer</t>
        </is>
      </c>
      <c r="K353" s="8" t="inlineStr">
        <is>
          <t>Stay close to the action, far from the exhaustion.</t>
        </is>
      </c>
      <c r="L353" s="8" t="inlineStr">
        <is>
          <t>Stay close to the action, far from the exhaustion. Make your move to Godrej Brooklyn Avenue with 3 BHK Luxe homes of 1,587 sq. ft.* starting from ₹1.98 Cr. and 4 BHK Grande homes of 3,213 sq. ft.* starting from ₹4.01 Cr.*  ✔ Exclusive Launch Offers | Reserve Your Home Today* ✔ New Launch In Hyderabad ✔ Bigger Units Available ✔ Just 3 Mins* From NH-65 ✔ 2 Landmark G+45 Towers Offering Enhanced Privacy ✔ Excellent Connectivity To NH-65 &amp; KPHB Metro ✔ 70%* Open &amp; Landscaped Spaces Across 7.8 Acres*</t>
        </is>
      </c>
      <c r="M353" s="7" t="inlineStr">
        <is>
          <t>https://www.facebook.com/ads/library/?id=1037378939281922</t>
        </is>
      </c>
    </row>
    <row r="354">
      <c r="A354" s="5" t="n">
        <v>333</v>
      </c>
      <c r="B354" s="5" t="inlineStr">
        <is>
          <t>Samsung it world</t>
        </is>
      </c>
      <c r="C354" s="5" t="inlineStr">
        <is>
          <t>Other Advertiser (Event / Service / Direct-to-Consumer)</t>
        </is>
      </c>
      <c r="D354" s="5" t="inlineStr">
        <is>
          <t>Inorbit Mall Cyberabad</t>
        </is>
      </c>
      <c r="E354" s="5" t="inlineStr">
        <is>
          <t>Hyderabad</t>
        </is>
      </c>
      <c r="F354" s="5" t="inlineStr">
        <is>
          <t>LIVE</t>
        </is>
      </c>
      <c r="G354" s="5" t="inlineStr">
        <is>
          <t>28 Aug 2026</t>
        </is>
      </c>
      <c r="H354" s="5" t="n">
        <v>5</v>
      </c>
      <c r="I354" s="5" t="inlineStr">
        <is>
          <t>Fresh Test (&lt;30d)</t>
        </is>
      </c>
      <c r="J354" s="5" t="inlineStr">
        <is>
          <t>Learn More</t>
        </is>
      </c>
      <c r="K354" s="6" t="inlineStr">
        <is>
          <t>Step into the all-new Samsung IT World at Panjagutta and experience the latest Samsung technology up close.</t>
        </is>
      </c>
      <c r="L354" s="6" t="inlineStr">
        <is>
          <t>Step into the all-new Samsung IT World at Panjagutta and experience the latest Samsung technology up close.  Discover the newest devices, explore the Samsung ecosystem, and get a hands-on experience before you choose.  What you can experience:  📱 Latest Samsung Smartphones &amp; Tablets 💻 Laptops &amp; Smart Devices ⌚ Wearables &amp; Official Accessories 🔗 Complete Samsung Ecosystem 🛠️ Authorised Service Centre  Why just browse technology online when you can explore and experience it in-store?  📍 Samsu</t>
        </is>
      </c>
      <c r="M354" s="5" t="inlineStr">
        <is>
          <t>https://www.facebook.com/ads/library/?id=1522858006261233</t>
        </is>
      </c>
    </row>
    <row r="355">
      <c r="A355" s="7" t="n">
        <v>334</v>
      </c>
      <c r="B355" s="7" t="inlineStr">
        <is>
          <t>Hyderabad Luxury Properties</t>
        </is>
      </c>
      <c r="C355" s="7" t="inlineStr">
        <is>
          <t>Real Estate Developer (Location-Piggyback)</t>
        </is>
      </c>
      <c r="D355" s="7" t="inlineStr">
        <is>
          <t>Inorbit Mall Cyberabad</t>
        </is>
      </c>
      <c r="E355" s="7" t="inlineStr">
        <is>
          <t>Hyderabad</t>
        </is>
      </c>
      <c r="F355" s="7" t="inlineStr">
        <is>
          <t>LIVE</t>
        </is>
      </c>
      <c r="G355" s="7" t="inlineStr">
        <is>
          <t>28 Aug 2026</t>
        </is>
      </c>
      <c r="H355" s="7" t="n">
        <v>5</v>
      </c>
      <c r="I355" s="7" t="inlineStr">
        <is>
          <t>Fresh Test (&lt;30d)</t>
        </is>
      </c>
      <c r="J355" s="7" t="inlineStr">
        <is>
          <t>Learn More</t>
        </is>
      </c>
      <c r="K355" s="8" t="inlineStr">
        <is>
          <t xml:space="preserve">🏙️ ASBL Broadway – Premium 3 &amp; 3.5 BHK Apartments in Financial District, Hyderabad  Experience elevated urban living at </t>
        </is>
      </c>
      <c r="L355" s="8" t="inlineStr">
        <is>
          <t>🏙️ ASBL Broadway – Premium 3 &amp; 3.5 BHK Apartments in Financial District, Hyderabad  Experience elevated urban living at ASBL Broadway, a premium gated community by ASBL (Ashoka Builders India Pvt. Ltd.) — spread across 5.03 acres with 75% open space, right in the heart of Hyderabad's Financial District.  📍 Location: Financial District, Hyderabad 🚦 Status: Upcoming Launch | Handover by December 2029  🏗️ Project Highlights: 🏢 3 towers, G+50 floors, 4 basements 🏠 885 luxury 3 &amp; 3.5 BHK reside</t>
        </is>
      </c>
      <c r="M355" s="7" t="inlineStr">
        <is>
          <t>https://www.facebook.com/ads/library/?id=1742087283671854</t>
        </is>
      </c>
    </row>
    <row r="356">
      <c r="A356" s="5" t="n">
        <v>335</v>
      </c>
      <c r="B356" s="5" t="inlineStr">
        <is>
          <t>The Homestore</t>
        </is>
      </c>
      <c r="C356" s="5" t="inlineStr">
        <is>
          <t>Real Estate Developer (Location-Piggyback)</t>
        </is>
      </c>
      <c r="D356" s="5" t="inlineStr">
        <is>
          <t>Phoenix Marketcity Pune</t>
        </is>
      </c>
      <c r="E356" s="5" t="inlineStr">
        <is>
          <t>Pune</t>
        </is>
      </c>
      <c r="F356" s="5" t="inlineStr">
        <is>
          <t>LIVE</t>
        </is>
      </c>
      <c r="G356" s="5" t="inlineStr">
        <is>
          <t>29 Aug 2026</t>
        </is>
      </c>
      <c r="H356" s="5" t="n">
        <v>4</v>
      </c>
      <c r="I356" s="5" t="inlineStr">
        <is>
          <t>Fresh Test (&lt;30d)</t>
        </is>
      </c>
      <c r="J356" s="5" t="inlineStr">
        <is>
          <t>Learn More</t>
        </is>
      </c>
      <c r="K356" s="6" t="inlineStr">
        <is>
          <t>Project Name: Godrej Elaris 📍 Location: Magarpatta, Pune  Experience premium living in one of Pune's most sought-after d</t>
        </is>
      </c>
      <c r="L356" s="6" t="inlineStr">
        <is>
          <t>Project Name: Godrej Elaris 📍 Location: Magarpatta, Pune  Experience premium living in one of Pune's most sought-after destinations.  ✔️ 3 &amp; 4 BHK Luxury Residences ✔️ *Price Starting From ₹1.65 CR ✔️ 12.8 Acres Premium Township ✔️ 1,00,000 Sq. Ft. Luxury Clubhouse ✔️ Lagoon Swimming Pool ✔️ 10,000 Sq. Ft. Gym ✔️ Business Centre &amp; Café ✔️ Oval Sports Ground &amp; Indoor Sports Arena  🚗 Excellent Connectivity: • EON IT Park • World Trade Center • Pune Airport • Phoenix Marketcity • Top Schools &amp; Ho</t>
        </is>
      </c>
      <c r="M356" s="5" t="inlineStr">
        <is>
          <t>https://www.facebook.com/ads/library/?id=1081500487737039</t>
        </is>
      </c>
    </row>
    <row r="357">
      <c r="A357" s="7" t="n">
        <v>336</v>
      </c>
      <c r="B357" s="7" t="inlineStr">
        <is>
          <t>Indriya Jewels</t>
        </is>
      </c>
      <c r="C357" s="7" t="inlineStr">
        <is>
          <t>Tenant / Retail Brand (Co-Op Candidate)</t>
        </is>
      </c>
      <c r="D357" s="7" t="inlineStr">
        <is>
          <t>Phoenix Marketcity Pune</t>
        </is>
      </c>
      <c r="E357" s="7" t="inlineStr">
        <is>
          <t>Pune</t>
        </is>
      </c>
      <c r="F357" s="7" t="inlineStr">
        <is>
          <t>LIVE</t>
        </is>
      </c>
      <c r="G357" s="7" t="inlineStr">
        <is>
          <t>29 Aug 2026</t>
        </is>
      </c>
      <c r="H357" s="7" t="n">
        <v>4</v>
      </c>
      <c r="I357" s="7" t="inlineStr">
        <is>
          <t>Fresh Test (&lt;30d)</t>
        </is>
      </c>
      <c r="J357" s="7" t="inlineStr">
        <is>
          <t>Learn More</t>
        </is>
      </c>
      <c r="K357" s="8" t="inlineStr">
        <is>
          <t>Exchange your old gold at Indriya with 0% deduction on any karat.</t>
        </is>
      </c>
      <c r="L357" s="8" t="inlineStr">
        <is>
          <t>Exchange your old gold at Indriya with 0% deduction on any karat. Get full value for your old gold and buy new jewellery with making charges from just 8%. New store open at Angul</t>
        </is>
      </c>
      <c r="M357" s="7" t="inlineStr">
        <is>
          <t>https://www.facebook.com/ads/library/?id=2935895813424823</t>
        </is>
      </c>
    </row>
    <row r="358">
      <c r="A358" s="5" t="n">
        <v>337</v>
      </c>
      <c r="B358" s="5" t="inlineStr">
        <is>
          <t>The Homestore</t>
        </is>
      </c>
      <c r="C358" s="5" t="inlineStr">
        <is>
          <t>Real Estate Developer (Location-Piggyback)</t>
        </is>
      </c>
      <c r="D358" s="5" t="inlineStr">
        <is>
          <t>Phoenix Marketcity Pune</t>
        </is>
      </c>
      <c r="E358" s="5" t="inlineStr">
        <is>
          <t>Pune</t>
        </is>
      </c>
      <c r="F358" s="5" t="inlineStr">
        <is>
          <t>LIVE</t>
        </is>
      </c>
      <c r="G358" s="5" t="inlineStr">
        <is>
          <t>29 Aug 2026</t>
        </is>
      </c>
      <c r="H358" s="5" t="n">
        <v>4</v>
      </c>
      <c r="I358" s="5" t="inlineStr">
        <is>
          <t>Fresh Test (&lt;30d)</t>
        </is>
      </c>
      <c r="J358" s="5" t="inlineStr">
        <is>
          <t>Learn More</t>
        </is>
      </c>
      <c r="K358" s="6" t="inlineStr">
        <is>
          <t>Project Name: Godrej Elaris 📍 Location: Magarpatta, Pune  Experience premium living in one of Pune's most sought-after d</t>
        </is>
      </c>
      <c r="L358" s="6" t="inlineStr">
        <is>
          <t>Project Name: Godrej Elaris 📍 Location: Magarpatta, Pune  Experience premium living in one of Pune's most sought-after destinations.  ✔️ 3 &amp; 4 BHK Luxury Residences ✔️ *Price Starting From ₹1.65 CR ✔️ 12.8 Acres Premium Township ✔️ 1,00,000 Sq. Ft. Luxury Clubhouse ✔️ Lagoon Swimming Pool ✔️ 10,000 Sq. Ft. Gym ✔️ Business Centre &amp; Café ✔️ Oval Sports Ground &amp; Indoor Sports Arena  🚗 Excellent Connectivity: • EON IT Park • World Trade Center • Pune Airport • Phoenix Marketcity • Top Schools &amp; Ho</t>
        </is>
      </c>
      <c r="M358" s="5" t="inlineStr">
        <is>
          <t>https://www.facebook.com/ads/library/?id=2176754226609735</t>
        </is>
      </c>
    </row>
    <row r="359">
      <c r="A359" s="7" t="n">
        <v>338</v>
      </c>
      <c r="B359" s="7" t="inlineStr">
        <is>
          <t>The Thickshake Factory</t>
        </is>
      </c>
      <c r="C359" s="7" t="inlineStr">
        <is>
          <t>Other Advertiser (Event / Service / Direct-to-Consumer)</t>
        </is>
      </c>
      <c r="D359" s="7" t="inlineStr">
        <is>
          <t>Seasons Mall Pune</t>
        </is>
      </c>
      <c r="E359" s="7" t="inlineStr">
        <is>
          <t>Pune</t>
        </is>
      </c>
      <c r="F359" s="7" t="inlineStr">
        <is>
          <t>LIVE</t>
        </is>
      </c>
      <c r="G359" s="7" t="inlineStr">
        <is>
          <t>29 Aug 2026</t>
        </is>
      </c>
      <c r="H359" s="7" t="n">
        <v>4</v>
      </c>
      <c r="I359" s="7" t="inlineStr">
        <is>
          <t>Fresh Test (&lt;30d)</t>
        </is>
      </c>
      <c r="J359" s="7" t="inlineStr">
        <is>
          <t>Learn More</t>
        </is>
      </c>
      <c r="K359" s="8" t="inlineStr">
        <is>
          <t>Pune, your next big business opportunity is here!</t>
        </is>
      </c>
      <c r="L359" s="8" t="inlineStr">
        <is>
          <t>Pune, your next big business opportunity is here! 🚀 Partner with India’s fastest-growing thickshake brand and bring The Thickshake Factory to a prime location near you. Franchise opportunities starting from ₹30 Lakhs. FB.ME BUILD YOUR BUSINESS WITH THE THICKSHAKE FACTORY Franchise Opportunities Available in Pune | Starting from ₹30 Lakhs Apply now ​ Active</t>
        </is>
      </c>
      <c r="M359" s="7" t="inlineStr">
        <is>
          <t>https://www.facebook.com/ads/library/?id=4574373522806959</t>
        </is>
      </c>
    </row>
    <row r="360">
      <c r="A360" s="5" t="n">
        <v>339</v>
      </c>
      <c r="B360" s="5" t="inlineStr">
        <is>
          <t>SYNQ Wave with Pluto Entertainment</t>
        </is>
      </c>
      <c r="C360" s="5" t="inlineStr">
        <is>
          <t>Other Advertiser (Event / Service / Direct-to-Consumer)</t>
        </is>
      </c>
      <c r="D360" s="5" t="inlineStr">
        <is>
          <t>KOPA Mall Pune</t>
        </is>
      </c>
      <c r="E360" s="5" t="inlineStr">
        <is>
          <t>Pune</t>
        </is>
      </c>
      <c r="F360" s="5" t="inlineStr">
        <is>
          <t>LIVE</t>
        </is>
      </c>
      <c r="G360" s="5" t="inlineStr">
        <is>
          <t>29 Aug 2026</t>
        </is>
      </c>
      <c r="H360" s="5" t="n">
        <v>4</v>
      </c>
      <c r="I360" s="5" t="inlineStr">
        <is>
          <t>Fresh Test (&lt;30d)</t>
        </is>
      </c>
      <c r="J360" s="5" t="inlineStr">
        <is>
          <t>Learn More</t>
        </is>
      </c>
      <c r="K360" s="6" t="inlineStr">
        <is>
          <t>This is for every Osho fan in Pune 🎤✨  In case you missed it Osho Jain is part of the IndieWave Vol.</t>
        </is>
      </c>
      <c r="L360" s="6" t="inlineStr">
        <is>
          <t>This is for every Osho fan in Pune 🎤✨  In case you missed it Osho Jain is part of the IndieWave Vol. 1 lineup, and with the new date locked in, we had to bring this one back on your feed 🙌  If you know Osho’s music, you know exactly why we’re hyped. There’s a rawness to it lyrics that actually say something, a stage energy that pulls you in instead of just performing at you. It’s the kind of set that turns into everyone’s favorite story from the night.  And if you haven’t heard Osho yet, do yo</t>
        </is>
      </c>
      <c r="M360" s="5" t="inlineStr">
        <is>
          <t>https://www.facebook.com/ads/library/?id=946633527876309</t>
        </is>
      </c>
    </row>
    <row r="361">
      <c r="A361" s="7" t="n">
        <v>340</v>
      </c>
      <c r="B361" s="7" t="inlineStr">
        <is>
          <t>SYNQ Wave with Pluto Entertainment</t>
        </is>
      </c>
      <c r="C361" s="7" t="inlineStr">
        <is>
          <t>Other Advertiser (Event / Service / Direct-to-Consumer)</t>
        </is>
      </c>
      <c r="D361" s="7" t="inlineStr">
        <is>
          <t>KOPA Mall Pune</t>
        </is>
      </c>
      <c r="E361" s="7" t="inlineStr">
        <is>
          <t>Pune</t>
        </is>
      </c>
      <c r="F361" s="7" t="inlineStr">
        <is>
          <t>LIVE</t>
        </is>
      </c>
      <c r="G361" s="7" t="inlineStr">
        <is>
          <t>29 Aug 2026</t>
        </is>
      </c>
      <c r="H361" s="7" t="n">
        <v>4</v>
      </c>
      <c r="I361" s="7" t="inlineStr">
        <is>
          <t>Fresh Test (&lt;30d)</t>
        </is>
      </c>
      <c r="J361" s="7" t="inlineStr">
        <is>
          <t>Learn More</t>
        </is>
      </c>
      <c r="K361" s="8" t="inlineStr">
        <is>
          <t>Pune, this one’s for you 🎤✨  Okay we have to talk about this one!</t>
        </is>
      </c>
      <c r="L361" s="8" t="inlineStr">
        <is>
          <t>Pune, this one’s for you 🎤✨  Okay we have to talk about this one! gini is part of the IndieWave Vol. 1 lineup and we could not be more excited to finally share this 🙌  If you’ve heard gini before, you already know that voice does something to a room. It’s the kind of set where you stop checking your phone and just… exist in it. And if you haven’t heard gini yet? This is your sign. Go listen tonight, then come hear it live. Trust us on this one.   🗓️ 6th September 📍 Pune, gini + Iqlipse Nova</t>
        </is>
      </c>
      <c r="M361" s="7" t="inlineStr">
        <is>
          <t>https://www.facebook.com/ads/library/?id=1848305472997683</t>
        </is>
      </c>
    </row>
    <row r="362">
      <c r="A362" s="5" t="n">
        <v>341</v>
      </c>
      <c r="B362" s="5" t="inlineStr">
        <is>
          <t>Ivana Jewels</t>
        </is>
      </c>
      <c r="C362" s="5" t="inlineStr">
        <is>
          <t>Other Advertiser (Event / Service / Direct-to-Consumer)</t>
        </is>
      </c>
      <c r="D362" s="5" t="inlineStr">
        <is>
          <t>KOPA Mall Pune</t>
        </is>
      </c>
      <c r="E362" s="5" t="inlineStr">
        <is>
          <t>Pune</t>
        </is>
      </c>
      <c r="F362" s="5" t="inlineStr">
        <is>
          <t>LIVE</t>
        </is>
      </c>
      <c r="G362" s="5" t="inlineStr">
        <is>
          <t>29 Aug 2026</t>
        </is>
      </c>
      <c r="H362" s="5" t="n">
        <v>4</v>
      </c>
      <c r="I362" s="5" t="inlineStr">
        <is>
          <t>Fresh Test (&lt;30d)</t>
        </is>
      </c>
      <c r="J362" s="5" t="inlineStr">
        <is>
          <t>Learn More</t>
        </is>
      </c>
      <c r="K362" s="6" t="inlineStr">
        <is>
          <t>IGI/SGL Certified Lab-Grown Diamonds 14/18kt Hallmarked Gold Lifetime Buyback &amp; Exchange Lifetime Warranty Secured &amp; Ins</t>
        </is>
      </c>
      <c r="L362" s="6" t="inlineStr">
        <is>
          <t>IGI/SGL Certified Lab-Grown Diamonds 14/18kt Hallmarked Gold Lifetime Buyback &amp; Exchange Lifetime Warranty Secured &amp; Insured Shipping  Store Location: Broadway Ivana Kopa Mall 7 H.NO.3 + 4 / 2, Village, Mundhwa Rd, Ghorpadi, Pune, Maharashtra 411001  Online: ivanajewels.com 0:00 / 0:33 IVANAJEWELS.COM Ivana Jewels</t>
        </is>
      </c>
      <c r="M362" s="5" t="inlineStr">
        <is>
          <t>https://www.facebook.com/ads/library/?id=1344563807434327</t>
        </is>
      </c>
    </row>
    <row r="363">
      <c r="A363" s="7" t="n">
        <v>342</v>
      </c>
      <c r="B363" s="7" t="inlineStr">
        <is>
          <t>LuLu Mall Hyderabad with LuLu Hypermarket Hyderabad</t>
        </is>
      </c>
      <c r="C363" s="7" t="inlineStr">
        <is>
          <t>Mall / Landlord (Direct Competitor)</t>
        </is>
      </c>
      <c r="D363" s="7" t="inlineStr">
        <is>
          <t>Lulu Mall Hyderabad</t>
        </is>
      </c>
      <c r="E363" s="7" t="inlineStr">
        <is>
          <t>Hyderabad</t>
        </is>
      </c>
      <c r="F363" s="7" t="inlineStr">
        <is>
          <t>off</t>
        </is>
      </c>
      <c r="G363" s="7" t="inlineStr">
        <is>
          <t>29 Aug 2026</t>
        </is>
      </c>
      <c r="H363" s="7" t="n">
        <v>4</v>
      </c>
      <c r="I363" s="7" t="inlineStr">
        <is>
          <t>Fresh Test (&lt;30d)</t>
        </is>
      </c>
      <c r="J363" s="7" t="inlineStr">
        <is>
          <t>Learn More</t>
        </is>
      </c>
      <c r="K363" s="8" t="inlineStr">
        <is>
          <t>🌸💛 Onam celebrations are all about togetherness!</t>
        </is>
      </c>
      <c r="L363" s="8" t="inlineStr">
        <is>
          <t>🌸💛 Onam celebrations are all about togetherness!  From colourful traditions and joyful moments to  happy smiles, LuLu Mall Hyderabad came alive with the beautiful spirit of Onam. 🌿✨  Thank you to everyone who joined us and made the celebration truly special. ❤️ The Spirit of Onam Blooms at LuLu Mall! 🌼  #Onam2026 #LuLuOnam #LuLuMallHyderabad #OnamCelebration #SpiritOfOnam #CelebrateWithLuLu #OnamVibes 0:00 / 0:40 WWW.INSTAGRAM.COM LuLu Mall Hyderabad See details ​ Inactive</t>
        </is>
      </c>
      <c r="M363" s="7" t="inlineStr">
        <is>
          <t>https://www.facebook.com/ads/library/?id=1591815468991920</t>
        </is>
      </c>
    </row>
    <row r="364">
      <c r="A364" s="5" t="n">
        <v>343</v>
      </c>
      <c r="B364" s="5" t="inlineStr">
        <is>
          <t>Pheonix Adventures</t>
        </is>
      </c>
      <c r="C364" s="5" t="inlineStr">
        <is>
          <t>Real Estate Developer (Location-Piggyback)</t>
        </is>
      </c>
      <c r="D364" s="5" t="inlineStr">
        <is>
          <t>Phoenix Marketcity Pune</t>
        </is>
      </c>
      <c r="E364" s="5" t="inlineStr">
        <is>
          <t>Pune</t>
        </is>
      </c>
      <c r="F364" s="5" t="inlineStr">
        <is>
          <t>LIVE</t>
        </is>
      </c>
      <c r="G364" s="5" t="inlineStr">
        <is>
          <t>30 Aug 2026</t>
        </is>
      </c>
      <c r="H364" s="5" t="n">
        <v>3</v>
      </c>
      <c r="I364" s="5" t="inlineStr">
        <is>
          <t>Fresh Test (&lt;30d)</t>
        </is>
      </c>
      <c r="J364" s="5" t="inlineStr">
        <is>
          <t>Learn More</t>
        </is>
      </c>
      <c r="K364" s="6" t="inlineStr">
        <is>
          <t>आता इतिहासाची पुढची वाटचाल — पुरंदर!</t>
        </is>
      </c>
      <c r="L364" s="6" t="inlineStr">
        <is>
          <t>आता इतिहासाची पुढची वाटचाल — पुरंदर! 🚩  मुरारबाजी देशपांडेंचा पराक्रम, पुरंदरची लढाई आणि याच भूमीवर झालेला छत्रपती संभाजी महाराजांचा जन्म   पुरंदरचा प्रत्येक दगड एक इतिहास सांगतो.  फक्त गडभ्रमंती नाही, तर इतिहास समजून घेण्याची एक अभ्यासपूर्ण सफर. 🏰  चला, पुरंदरचा इतिहास प्रत्यक्ष अनुभवायला! 🚩   6 सप्टेंबर | पुरंदर अभ्यासभ्रमंती 🚩 🎙️मार्गदर्शक : ओंकार ओक  📍 पुरंदर अभ्यास सहल 🎒 Phoenix Adventures  Join Now! To Book your seat 📞 Manthan Sawant: 9372506447 📞 Siddhesh Salunkhe: 8779715618  [S</t>
        </is>
      </c>
      <c r="M364" s="5" t="inlineStr">
        <is>
          <t>https://www.facebook.com/ads/library/?id=28365052333089947</t>
        </is>
      </c>
    </row>
    <row r="365">
      <c r="A365" s="7" t="n">
        <v>344</v>
      </c>
      <c r="B365" s="7" t="inlineStr">
        <is>
          <t>Pheonix Adventures</t>
        </is>
      </c>
      <c r="C365" s="7" t="inlineStr">
        <is>
          <t>Real Estate Developer (Location-Piggyback)</t>
        </is>
      </c>
      <c r="D365" s="7" t="inlineStr">
        <is>
          <t>Phoenix Marketcity Pune</t>
        </is>
      </c>
      <c r="E365" s="7" t="inlineStr">
        <is>
          <t>Pune</t>
        </is>
      </c>
      <c r="F365" s="7" t="inlineStr">
        <is>
          <t>LIVE</t>
        </is>
      </c>
      <c r="G365" s="7" t="inlineStr">
        <is>
          <t>30 Aug 2026</t>
        </is>
      </c>
      <c r="H365" s="7" t="n">
        <v>3</v>
      </c>
      <c r="I365" s="7" t="inlineStr">
        <is>
          <t>Fresh Test (&lt;30d)</t>
        </is>
      </c>
      <c r="J365" s="7" t="inlineStr">
        <is>
          <t>Learn More</t>
        </is>
      </c>
      <c r="K365" s="8" t="inlineStr">
        <is>
          <t>🌧️ Escape the City.</t>
        </is>
      </c>
      <c r="L365" s="8" t="inlineStr">
        <is>
          <t>🌧️ Escape the City. Chase the Waterfalls. 🌿  This monsoon, discover the breathtaking beauty of Bhandardara with Phoenix Adventures! 🌄  ✨ Experience: 💦 Majestic Waterfalls 🌿 Lush Green Valleys 🏞️ Serene Lake Views 🌊 Reverse Waterfall 🛕 Ancient Shiva Temple 🥾 Jungle Trail Adventure 🌅 Stunning Valley Viewpoints  📅 Trip Dates: • 6th September 2026  💰 Price: ₹1,799 per person  🎉 Group Offer: Get ₹100 OFF per person for groups of 5 or more!  ✅ Private Bus from Mumbai ✅ Breakfast + Unlimit</t>
        </is>
      </c>
      <c r="M365" s="7" t="inlineStr">
        <is>
          <t>https://www.facebook.com/ads/library/?id=1359043282614765</t>
        </is>
      </c>
    </row>
    <row r="366">
      <c r="A366" s="5" t="n">
        <v>345</v>
      </c>
      <c r="B366" s="5" t="inlineStr">
        <is>
          <t>KOPA Pune with Pluto Entertainment</t>
        </is>
      </c>
      <c r="C366" s="5" t="inlineStr">
        <is>
          <t>Mall / Landlord (Direct Competitor)</t>
        </is>
      </c>
      <c r="D366" s="5" t="inlineStr">
        <is>
          <t>KOPA Mall Pune</t>
        </is>
      </c>
      <c r="E366" s="5" t="inlineStr">
        <is>
          <t>Pune</t>
        </is>
      </c>
      <c r="F366" s="5" t="inlineStr">
        <is>
          <t>LIVE</t>
        </is>
      </c>
      <c r="G366" s="5" t="inlineStr">
        <is>
          <t>30 Aug 2026</t>
        </is>
      </c>
      <c r="H366" s="5" t="n">
        <v>3</v>
      </c>
      <c r="I366" s="5" t="inlineStr">
        <is>
          <t>Fresh Test (&lt;30d)</t>
        </is>
      </c>
      <c r="J366" s="5" t="inlineStr">
        <is>
          <t>Learn More</t>
        </is>
      </c>
      <c r="K366" s="6" t="inlineStr">
        <is>
          <t>Your indie playlist is coming to life!</t>
        </is>
      </c>
      <c r="L366" s="6" t="inlineStr">
        <is>
          <t>Your indie playlist is coming to life! Catch Iqlipse Nova, Osho Jain &amp; gini live at Indie Wave, Kopa Mall. 🎵  📅 6th September ⏰ 4:30 PM onwards 📍 Kopa Mall, Pune 🎟️</t>
        </is>
      </c>
      <c r="M366" s="5" t="inlineStr">
        <is>
          <t>https://www.facebook.com/ads/library/?id=1097129752667250</t>
        </is>
      </c>
    </row>
    <row r="367">
      <c r="A367" s="7" t="n">
        <v>346</v>
      </c>
      <c r="B367" s="7" t="inlineStr">
        <is>
          <t>KOPA Pune with Pluto Entertainment</t>
        </is>
      </c>
      <c r="C367" s="7" t="inlineStr">
        <is>
          <t>Mall / Landlord (Direct Competitor)</t>
        </is>
      </c>
      <c r="D367" s="7" t="inlineStr">
        <is>
          <t>KOPA Mall Pune</t>
        </is>
      </c>
      <c r="E367" s="7" t="inlineStr">
        <is>
          <t>Pune</t>
        </is>
      </c>
      <c r="F367" s="7" t="inlineStr">
        <is>
          <t>LIVE</t>
        </is>
      </c>
      <c r="G367" s="7" t="inlineStr">
        <is>
          <t>30 Aug 2026</t>
        </is>
      </c>
      <c r="H367" s="7" t="n">
        <v>3</v>
      </c>
      <c r="I367" s="7" t="inlineStr">
        <is>
          <t>Fresh Test (&lt;30d)</t>
        </is>
      </c>
      <c r="J367" s="7" t="inlineStr">
        <is>
          <t>Learn More</t>
        </is>
      </c>
      <c r="K367" s="8" t="inlineStr">
        <is>
          <t>Your indie playlist is coming to life!</t>
        </is>
      </c>
      <c r="L367" s="8" t="inlineStr">
        <is>
          <t>Your indie playlist is coming to life! Catch Iqlipse Nova, Osho Jain &amp; gini live at Indie Wave, Kopa Mall. 🎵  📅 6th September ⏰ 4:30 PM onwards 📍 Kopa Mall, Pune 🎟️</t>
        </is>
      </c>
      <c r="M367" s="7" t="inlineStr">
        <is>
          <t>https://www.facebook.com/ads/library/?id=1714850526290223</t>
        </is>
      </c>
    </row>
    <row r="368">
      <c r="A368" s="5" t="n">
        <v>347</v>
      </c>
      <c r="B368" s="5" t="inlineStr">
        <is>
          <t>KOPA Pune with Pluto Entertainment</t>
        </is>
      </c>
      <c r="C368" s="5" t="inlineStr">
        <is>
          <t>Mall / Landlord (Direct Competitor)</t>
        </is>
      </c>
      <c r="D368" s="5" t="inlineStr">
        <is>
          <t>KOPA Mall Pune</t>
        </is>
      </c>
      <c r="E368" s="5" t="inlineStr">
        <is>
          <t>Pune</t>
        </is>
      </c>
      <c r="F368" s="5" t="inlineStr">
        <is>
          <t>LIVE</t>
        </is>
      </c>
      <c r="G368" s="5" t="inlineStr">
        <is>
          <t>30 Aug 2026</t>
        </is>
      </c>
      <c r="H368" s="5" t="n">
        <v>3</v>
      </c>
      <c r="I368" s="5" t="inlineStr">
        <is>
          <t>Fresh Test (&lt;30d)</t>
        </is>
      </c>
      <c r="J368" s="5" t="inlineStr">
        <is>
          <t>Learn More</t>
        </is>
      </c>
      <c r="K368" s="6" t="inlineStr">
        <is>
          <t>Your indie playlist is coming to life!</t>
        </is>
      </c>
      <c r="L368" s="6" t="inlineStr">
        <is>
          <t>Your indie playlist is coming to life! Catch Iqlipse Nova, Osho Jain &amp; gini live at Indie Wave, Kopa Mall. 🎵  📅 6th September ⏰ 4:30 PM onwards 📍 Kopa Mall, Pune 🎟️</t>
        </is>
      </c>
      <c r="M368" s="5" t="inlineStr">
        <is>
          <t>https://www.facebook.com/ads/library/?id=1034601779439478</t>
        </is>
      </c>
    </row>
    <row r="369">
      <c r="A369" s="7" t="n">
        <v>348</v>
      </c>
      <c r="B369" s="7" t="inlineStr">
        <is>
          <t>LuLu Mall Hyderabad with The science squad. explorer</t>
        </is>
      </c>
      <c r="C369" s="7" t="inlineStr">
        <is>
          <t>Mall / Landlord (Direct Competitor)</t>
        </is>
      </c>
      <c r="D369" s="7" t="inlineStr">
        <is>
          <t>Lulu Mall Hyderabad</t>
        </is>
      </c>
      <c r="E369" s="7" t="inlineStr">
        <is>
          <t>Hyderabad</t>
        </is>
      </c>
      <c r="F369" s="7" t="inlineStr">
        <is>
          <t>LIVE</t>
        </is>
      </c>
      <c r="G369" s="7" t="inlineStr">
        <is>
          <t>30 Aug 2026</t>
        </is>
      </c>
      <c r="H369" s="7" t="n">
        <v>3</v>
      </c>
      <c r="I369" s="7" t="inlineStr">
        <is>
          <t>Fresh Test (&lt;30d)</t>
        </is>
      </c>
      <c r="J369" s="7" t="inlineStr">
        <is>
          <t>Learn More</t>
        </is>
      </c>
      <c r="K369" s="8" t="inlineStr">
        <is>
          <t>Get ready for a week of epic experiments and mind-blowing discoveries!</t>
        </is>
      </c>
      <c r="L369" s="8" t="inlineStr">
        <is>
          <t>Get ready for a week of epic experiments and mind-blowing discoveries! 🔬✨  We are thrilled to bring you the LuLu Science Explorer (powered by Curiosity) right here at LuLu Mall Hyderabad! Bring your little scientists along to explore, learn, and play. 🚀💡  📍 LuLu Mall, Hyderabad 📅 29th August – 6th September ⏰ 1 PM – 8:30 PM 🎟️ Entry FREE | Ages 3+  Don’t let your kids miss out on this fun-filled learning adventure. Mark your calendars and see you there! 🧪🧠  #LuLuMallHyderabad #LuLuScienc</t>
        </is>
      </c>
      <c r="M369" s="7" t="inlineStr">
        <is>
          <t>https://www.facebook.com/ads/library/?id=4523425304564524</t>
        </is>
      </c>
    </row>
    <row r="370">
      <c r="A370" s="5" t="n">
        <v>349</v>
      </c>
      <c r="B370" s="5" t="inlineStr">
        <is>
          <t>Luxury Living Homes</t>
        </is>
      </c>
      <c r="C370" s="5" t="inlineStr">
        <is>
          <t>Real Estate Developer (Location-Piggyback)</t>
        </is>
      </c>
      <c r="D370" s="5" t="inlineStr">
        <is>
          <t>Lulu Mall Hyderabad</t>
        </is>
      </c>
      <c r="E370" s="5" t="inlineStr">
        <is>
          <t>Hyderabad</t>
        </is>
      </c>
      <c r="F370" s="5" t="inlineStr">
        <is>
          <t>LIVE</t>
        </is>
      </c>
      <c r="G370" s="5" t="inlineStr">
        <is>
          <t>30 Aug 2026</t>
        </is>
      </c>
      <c r="H370" s="5" t="n">
        <v>3</v>
      </c>
      <c r="I370" s="5" t="inlineStr">
        <is>
          <t>Fresh Test (&lt;30d)</t>
        </is>
      </c>
      <c r="J370" s="5" t="inlineStr">
        <is>
          <t>Learn More</t>
        </is>
      </c>
      <c r="K370" s="6" t="inlineStr">
        <is>
          <t>✨ Hydrabad's Fast-Grwoing HiTec Corridor  🏡 3 BHK - 2000 Sq.ft.</t>
        </is>
      </c>
      <c r="L370" s="6" t="inlineStr">
        <is>
          <t>✨ Hydrabad's Fast-Grwoing HiTec Corridor  🏡 3 BHK - 2000 Sq.ft. - 2.65 Cr Onwards 🏡 4 BHK - 3000 Sq.ft. - 4.39 Cr Onwards  ▪️8 Mins Lulu Mall Hyderabad ▪️Save ₹4.5 Lakhs on Pre Booking  ▪️Possession in 3 Years ▪️Just Minutes From KPHB Metro ▪️8 Mins To Gachibowli ORR Circle ▪️Excellent ROI &amp; Rental Potential  👇Click on the button below to get more information 0:00 / 0:15 FB.ME Save ₹4.5 Lakhs on Pre Booking Get quote ​ Active</t>
        </is>
      </c>
      <c r="M370" s="5" t="inlineStr">
        <is>
          <t>https://www.facebook.com/ads/library/?id=2130097507931343</t>
        </is>
      </c>
    </row>
    <row r="371">
      <c r="A371" s="7" t="n">
        <v>350</v>
      </c>
      <c r="B371" s="7" t="inlineStr">
        <is>
          <t>The_Akshara_Events</t>
        </is>
      </c>
      <c r="C371" s="7" t="inlineStr">
        <is>
          <t>Other Advertiser (Event / Service / Direct-to-Consumer)</t>
        </is>
      </c>
      <c r="D371" s="7" t="inlineStr">
        <is>
          <t>Seasons Mall Pune</t>
        </is>
      </c>
      <c r="E371" s="7" t="inlineStr">
        <is>
          <t>Pune</t>
        </is>
      </c>
      <c r="F371" s="7" t="inlineStr">
        <is>
          <t>LIVE</t>
        </is>
      </c>
      <c r="G371" s="7" t="inlineStr">
        <is>
          <t>31 Aug 2026</t>
        </is>
      </c>
      <c r="H371" s="7" t="n">
        <v>2</v>
      </c>
      <c r="I371" s="7" t="inlineStr">
        <is>
          <t>Fresh Test (&lt;30d)</t>
        </is>
      </c>
      <c r="J371" s="7" t="inlineStr">
        <is>
          <t>Learn More</t>
        </is>
      </c>
      <c r="K371" s="8" t="inlineStr">
        <is>
          <t>तुमच्या बाप्पांसाठी सुंदर, आकर्षक आणि भक्तिमय Ganpati Decoration आता खास ऑफरमध्ये!</t>
        </is>
      </c>
      <c r="L371" s="8" t="inlineStr">
        <is>
          <t>तुमच्या बाप्पांसाठी सुंदर, आकर्षक आणि भक्तिमय Ganpati Decoration आता खास ऑफरमध्ये!   ✨ Premium Decoration Designs 🌸 Elegant &amp; Traditional Themes 🏡 घरासाठी आकर्षक सजावट 💰 ₹9,999 ऐवजी फक्त ₹7,999/- पासून!  बाप्पांच्या आगमनाची तयारी आजच सुरू करा! 📞 बुकिंगसाठी संपर्क: 9689233444  #GanpatiDecoration #GanpatiBappa #GanpatiFestival #GanpatiDecor #GaneshChaturthi FB.ME Ganpati Decoration फक्त ₹7,999/- मध्ये !</t>
        </is>
      </c>
      <c r="M371" s="7" t="inlineStr">
        <is>
          <t>https://www.facebook.com/ads/library/?id=27933569712932576</t>
        </is>
      </c>
    </row>
    <row r="372">
      <c r="A372" s="5" t="n">
        <v>351</v>
      </c>
      <c r="B372" s="5" t="inlineStr">
        <is>
          <t>Funtura.in with LuLu Mall Hyderabad</t>
        </is>
      </c>
      <c r="C372" s="5" t="inlineStr">
        <is>
          <t>Mall / Landlord (Direct Competitor)</t>
        </is>
      </c>
      <c r="D372" s="5" t="inlineStr">
        <is>
          <t>Lulu Mall Hyderabad</t>
        </is>
      </c>
      <c r="E372" s="5" t="inlineStr">
        <is>
          <t>Hyderabad</t>
        </is>
      </c>
      <c r="F372" s="5" t="inlineStr">
        <is>
          <t>LIVE</t>
        </is>
      </c>
      <c r="G372" s="5" t="inlineStr">
        <is>
          <t>31 Aug 2026</t>
        </is>
      </c>
      <c r="H372" s="5" t="n">
        <v>2</v>
      </c>
      <c r="I372" s="5" t="inlineStr">
        <is>
          <t>Fresh Test (&lt;30d)</t>
        </is>
      </c>
      <c r="J372" s="5" t="inlineStr">
        <is>
          <t>Learn More</t>
        </is>
      </c>
      <c r="K372" s="6" t="inlineStr">
        <is>
          <t>🤩 Wednesdays just got WOW!</t>
        </is>
      </c>
      <c r="L372" s="6" t="inlineStr">
        <is>
          <t>🤩 Wednesdays just got WOW!  Make your midweek extra exciting with WOW Wednesday at Funtura! 🎮🎳🎯  Enjoy FLAT 50% OFF on all games and turn your Wednesday into a day full of fun, challenges and unforgettable moments.  📍 Funtura, LuLu Mall Hyderabad  Every Wednesday. FLAT 50% OFF. 💥  *T&amp;C Apply.  #WowWednesday #Funtura #LuLuMallHyderabad #Flat50Off #GameOn 0:00 / 0:34 WWW.INSTAGRAM.COM Funtura.in See details ​ Active</t>
        </is>
      </c>
      <c r="M372" s="5" t="inlineStr">
        <is>
          <t>https://www.facebook.com/ads/library/?id=1894359734874879</t>
        </is>
      </c>
    </row>
    <row r="373">
      <c r="A373" s="7" t="n">
        <v>352</v>
      </c>
      <c r="B373" s="7" t="inlineStr">
        <is>
          <t>Funtura.in with LuLu Mall Hyderabad</t>
        </is>
      </c>
      <c r="C373" s="7" t="inlineStr">
        <is>
          <t>Mall / Landlord (Direct Competitor)</t>
        </is>
      </c>
      <c r="D373" s="7" t="inlineStr">
        <is>
          <t>Lulu Mall Hyderabad</t>
        </is>
      </c>
      <c r="E373" s="7" t="inlineStr">
        <is>
          <t>Hyderabad</t>
        </is>
      </c>
      <c r="F373" s="7" t="inlineStr">
        <is>
          <t>LIVE</t>
        </is>
      </c>
      <c r="G373" s="7" t="inlineStr">
        <is>
          <t>31 Aug 2026</t>
        </is>
      </c>
      <c r="H373" s="7" t="n">
        <v>2</v>
      </c>
      <c r="I373" s="7" t="inlineStr">
        <is>
          <t>Fresh Test (&lt;30d)</t>
        </is>
      </c>
      <c r="J373" s="7" t="inlineStr">
        <is>
          <t>Learn More</t>
        </is>
      </c>
      <c r="K373" s="8" t="inlineStr">
        <is>
          <t>🎳 Tuesdays just got a whole lot more fun!</t>
        </is>
      </c>
      <c r="L373" s="8" t="inlineStr">
        <is>
          <t>🎳 Tuesdays just got a whole lot more fun!  Hit the lanes at Funtura, LuLu Mall Hyderabad and bowl your way through the day! 🔥  ⏰ Till 2 PM – ₹99/- ⏰ After 2 PM – ₹199/-  Make Tuesdays your bowling day! 🎳💥  📍 Funtura, LuLu Mall Hyderabad  *T&amp;C Apply.  #TuesdayBowling #Funtura #LuLuMallHyderabad #BowlingFun #TuesdayPlans 0:00 / 0:25 WWW.INSTAGRAM.COM Funtura.in See details ​ Active</t>
        </is>
      </c>
      <c r="M373" s="7" t="inlineStr">
        <is>
          <t>https://www.facebook.com/ads/library/?id=1384173450576363</t>
        </is>
      </c>
    </row>
    <row r="374">
      <c r="A374" s="5" t="n">
        <v>353</v>
      </c>
      <c r="B374" s="5" t="inlineStr">
        <is>
          <t>Funtura.in with LuLu Mall Hyderabad</t>
        </is>
      </c>
      <c r="C374" s="5" t="inlineStr">
        <is>
          <t>Mall / Landlord (Direct Competitor)</t>
        </is>
      </c>
      <c r="D374" s="5" t="inlineStr">
        <is>
          <t>Lulu Mall Hyderabad</t>
        </is>
      </c>
      <c r="E374" s="5" t="inlineStr">
        <is>
          <t>Hyderabad</t>
        </is>
      </c>
      <c r="F374" s="5" t="inlineStr">
        <is>
          <t>LIVE</t>
        </is>
      </c>
      <c r="G374" s="5" t="inlineStr">
        <is>
          <t>31 Aug 2026</t>
        </is>
      </c>
      <c r="H374" s="5" t="n">
        <v>2</v>
      </c>
      <c r="I374" s="5" t="inlineStr">
        <is>
          <t>Fresh Test (&lt;30d)</t>
        </is>
      </c>
      <c r="J374" s="5" t="inlineStr">
        <is>
          <t>Learn More</t>
        </is>
      </c>
      <c r="K374" s="6" t="inlineStr">
        <is>
          <t>🤩 Wednesdays just got WOW!</t>
        </is>
      </c>
      <c r="L374" s="6" t="inlineStr">
        <is>
          <t>🤩 Wednesdays just got WOW!  Make your midweek extra exciting with WOW Wednesday at Funtura! 🎮🎳🎯  Enjoy FLAT 50% OFF on all games and turn your Wednesday into a day full of fun, challenges and unforgettable moments.  📍 Funtura, LuLu Mall Hyderabad  Every Wednesday. FLAT 50% OFF. 💥  *T&amp;C Apply.  #WowWednesday #Funtura #LuLuMallHyderabad #Flat50Off #GameOn 0:00 / 0:34 WWW.INSTAGRAM.COM Funtura.in See details ​ Active</t>
        </is>
      </c>
      <c r="M374" s="5" t="inlineStr">
        <is>
          <t>https://www.facebook.com/ads/library/?id=1814940993291428</t>
        </is>
      </c>
    </row>
    <row r="375">
      <c r="A375" s="7" t="n">
        <v>354</v>
      </c>
      <c r="B375" s="7" t="inlineStr">
        <is>
          <t>Funtura.in with LuLu Mall Hyderabad</t>
        </is>
      </c>
      <c r="C375" s="7" t="inlineStr">
        <is>
          <t>Mall / Landlord (Direct Competitor)</t>
        </is>
      </c>
      <c r="D375" s="7" t="inlineStr">
        <is>
          <t>Lulu Mall Hyderabad</t>
        </is>
      </c>
      <c r="E375" s="7" t="inlineStr">
        <is>
          <t>Hyderabad</t>
        </is>
      </c>
      <c r="F375" s="7" t="inlineStr">
        <is>
          <t>off</t>
        </is>
      </c>
      <c r="G375" s="7" t="inlineStr">
        <is>
          <t>31 Aug 2026</t>
        </is>
      </c>
      <c r="H375" s="7" t="n">
        <v>2</v>
      </c>
      <c r="I375" s="7" t="inlineStr">
        <is>
          <t>Fresh Test (&lt;30d)</t>
        </is>
      </c>
      <c r="J375" s="7" t="inlineStr">
        <is>
          <t>Learn More</t>
        </is>
      </c>
      <c r="K375" s="8" t="inlineStr">
        <is>
          <t>🎳 Tuesdays just got a whole lot more fun!</t>
        </is>
      </c>
      <c r="L375" s="8" t="inlineStr">
        <is>
          <t>🎳 Tuesdays just got a whole lot more fun!  Hit the lanes at Funtura, LuLu Mall Hyderabad and bowl your way through the day! 🔥  ⏰ Till 2 PM – ₹99/- ⏰ After 2 PM – ₹199/-  Make Tuesdays your bowling day! 🎳💥  📍 Funtura, LuLu Mall Hyderabad  *T&amp;C Apply.  #TuesdayBowling #Funtura #LuLuMallHyderabad #BowlingFun #TuesdayPlans 0:00 / 0:25 WWW.INSTAGRAM.COM Funtura.in See details ​ Inactive</t>
        </is>
      </c>
      <c r="M375" s="7" t="inlineStr">
        <is>
          <t>https://www.facebook.com/ads/library/?id=1617433526419783</t>
        </is>
      </c>
    </row>
    <row r="376">
      <c r="A376" s="5" t="n">
        <v>355</v>
      </c>
      <c r="B376" s="5" t="inlineStr">
        <is>
          <t>Funtura.in with LuLu Mall Hyderabad</t>
        </is>
      </c>
      <c r="C376" s="5" t="inlineStr">
        <is>
          <t>Mall / Landlord (Direct Competitor)</t>
        </is>
      </c>
      <c r="D376" s="5" t="inlineStr">
        <is>
          <t>Lulu Mall Hyderabad</t>
        </is>
      </c>
      <c r="E376" s="5" t="inlineStr">
        <is>
          <t>Hyderabad</t>
        </is>
      </c>
      <c r="F376" s="5" t="inlineStr">
        <is>
          <t>LIVE</t>
        </is>
      </c>
      <c r="G376" s="5" t="inlineStr">
        <is>
          <t>31 Aug 2026</t>
        </is>
      </c>
      <c r="H376" s="5" t="n">
        <v>2</v>
      </c>
      <c r="I376" s="5" t="inlineStr">
        <is>
          <t>Fresh Test (&lt;30d)</t>
        </is>
      </c>
      <c r="J376" s="5" t="inlineStr">
        <is>
          <t>Learn More</t>
        </is>
      </c>
      <c r="K376" s="6" t="inlineStr">
        <is>
          <t>🤩 Wednesdays just got WOW!</t>
        </is>
      </c>
      <c r="L376" s="6" t="inlineStr">
        <is>
          <t>🤩 Wednesdays just got WOW!  Make your midweek extra exciting with WOW Wednesday at Funtura! 🎮🎳🎯  Enjoy FLAT 50% OFF on all games and turn your Wednesday into a day full of fun, challenges and unforgettable moments.  📍 Funtura, LuLu Mall Hyderabad  Every Wednesday. FLAT 50% OFF. 💥  *T&amp;C Apply.  #WowWednesday #Funtura #LuLuMallHyderabad #Flat50Off #GameOn 0:00 / 0:34 WWW.INSTAGRAM.COM Funtura.in See details ​ Active</t>
        </is>
      </c>
      <c r="M376" s="5" t="inlineStr">
        <is>
          <t>https://www.facebook.com/ads/library/?id=1052103961133899</t>
        </is>
      </c>
    </row>
    <row r="377">
      <c r="A377" s="7" t="n">
        <v>356</v>
      </c>
      <c r="B377" s="7" t="inlineStr">
        <is>
          <t>Bedcetera</t>
        </is>
      </c>
      <c r="C377" s="7" t="inlineStr">
        <is>
          <t>Other Advertiser (Event / Service / Direct-to-Consumer)</t>
        </is>
      </c>
      <c r="D377" s="7" t="inlineStr">
        <is>
          <t>Lulu Mall Hyderabad</t>
        </is>
      </c>
      <c r="E377" s="7" t="inlineStr">
        <is>
          <t>Hyderabad</t>
        </is>
      </c>
      <c r="F377" s="7" t="inlineStr">
        <is>
          <t>LIVE</t>
        </is>
      </c>
      <c r="G377" s="7" t="inlineStr">
        <is>
          <t>31 Aug 2026</t>
        </is>
      </c>
      <c r="H377" s="7" t="n">
        <v>2</v>
      </c>
      <c r="I377" s="7" t="inlineStr">
        <is>
          <t>Fresh Test (&lt;30d)</t>
        </is>
      </c>
      <c r="J377" s="7" t="inlineStr">
        <is>
          <t>Learn More</t>
        </is>
      </c>
      <c r="K377" s="8" t="inlineStr">
        <is>
          <t>Rainy-day naps deserve bedding that's just as inviting.</t>
        </is>
      </c>
      <c r="L377" s="8" t="inlineStr">
        <is>
          <t>Rainy-day naps deserve bedding that's just as inviting. ☁️ Bedcetera reversible comforter collection is made for monsoon living without stretching your budget with: ☁️ ultra-soft, cloud-like filler 😍 8+ dual-colour combo shades 🫧 easy maintenance  Visit your nearest BEDCETERA store and shop your favourite design today. BEDCETERA.IN Bedcetera: Premium Bedsheets, Towels, and Pillows in Hyderabad Shop cozy and stylish bedsheets, pillow covers, comforters, and bath towels at Bedcetera. Wrap yourse</t>
        </is>
      </c>
      <c r="M377" s="7" t="inlineStr">
        <is>
          <t>https://www.facebook.com/ads/library/?id=1384014873185713</t>
        </is>
      </c>
    </row>
    <row r="378">
      <c r="A378" s="5" t="n">
        <v>357</v>
      </c>
      <c r="B378" s="5" t="inlineStr">
        <is>
          <t>Funtura.in with LuLu Mall Hyderabad</t>
        </is>
      </c>
      <c r="C378" s="5" t="inlineStr">
        <is>
          <t>Mall / Landlord (Direct Competitor)</t>
        </is>
      </c>
      <c r="D378" s="5" t="inlineStr">
        <is>
          <t>Lulu Mall Hyderabad</t>
        </is>
      </c>
      <c r="E378" s="5" t="inlineStr">
        <is>
          <t>Hyderabad</t>
        </is>
      </c>
      <c r="F378" s="5" t="inlineStr">
        <is>
          <t>off</t>
        </is>
      </c>
      <c r="G378" s="5" t="inlineStr">
        <is>
          <t>31 Aug 2026</t>
        </is>
      </c>
      <c r="H378" s="5" t="n">
        <v>2</v>
      </c>
      <c r="I378" s="5" t="inlineStr">
        <is>
          <t>Fresh Test (&lt;30d)</t>
        </is>
      </c>
      <c r="J378" s="5" t="inlineStr">
        <is>
          <t>Learn More</t>
        </is>
      </c>
      <c r="K378" s="6" t="inlineStr">
        <is>
          <t>🎳 Tuesdays just got a whole lot more fun!</t>
        </is>
      </c>
      <c r="L378" s="6" t="inlineStr">
        <is>
          <t>🎳 Tuesdays just got a whole lot more fun!  Hit the lanes at Funtura, LuLu Mall Hyderabad and bowl your way through the day! 🔥  ⏰ Till 2 PM – ₹99/- ⏰ After 2 PM – ₹199/-  Make Tuesdays your bowling day! 🎳💥  📍 Funtura, LuLu Mall Hyderabad  *T&amp;C Apply.  #TuesdayBowling #Funtura #LuLuMallHyderabad #BowlingFun #TuesdayPlans 0:00 / 0:25 WWW.INSTAGRAM.COM Funtura.in See details ​ Inactive</t>
        </is>
      </c>
      <c r="M378" s="5" t="inlineStr">
        <is>
          <t>https://www.facebook.com/ads/library/?id=1381558384180184</t>
        </is>
      </c>
    </row>
    <row r="379">
      <c r="A379" s="7" t="n">
        <v>358</v>
      </c>
      <c r="B379" s="7" t="inlineStr">
        <is>
          <t>Hyderabad Premium Properties</t>
        </is>
      </c>
      <c r="C379" s="7" t="inlineStr">
        <is>
          <t>Real Estate Developer (Location-Piggyback)</t>
        </is>
      </c>
      <c r="D379" s="7" t="inlineStr">
        <is>
          <t>Lulu Mall Hyderabad</t>
        </is>
      </c>
      <c r="E379" s="7" t="inlineStr">
        <is>
          <t>Hyderabad</t>
        </is>
      </c>
      <c r="F379" s="7" t="inlineStr">
        <is>
          <t>off</t>
        </is>
      </c>
      <c r="G379" s="7" t="inlineStr">
        <is>
          <t>31 Aug 2026</t>
        </is>
      </c>
      <c r="H379" s="7" t="n">
        <v>2</v>
      </c>
      <c r="I379" s="7" t="inlineStr">
        <is>
          <t>Fresh Test (&lt;30d)</t>
        </is>
      </c>
      <c r="J379" s="7" t="inlineStr">
        <is>
          <t>Learn More</t>
        </is>
      </c>
      <c r="K379" s="8" t="inlineStr">
        <is>
          <t>✨South India's Biggest Investment Opportunity!</t>
        </is>
      </c>
      <c r="L379" s="8" t="inlineStr">
        <is>
          <t>✨South India's Biggest Investment Opportunity!  🏡 3 BHK- 1.98 Cr.(All Incl.) 🏡 4 BHK- 4.40 Cr.(All Incl.)  📍Kukatpally (Near HITEC City)  ⭐️Assured Rental Income up to ₹1.5 lacs ⭐️40%-45% Annual Capital Appreciation ⭐️Special 20-80 Payment Plan ⭐️Near Financial District &amp; Mindspace IT Hub ⭐️45-Storey Luxury Residences ⭐️5 Mins from Lulu Mall Hyderabad ⭐️7 mins from Google Office 0:00 / 0:44 FB.ME Assured Rental Income up to ₹1.5 lacs</t>
        </is>
      </c>
      <c r="M379" s="7" t="inlineStr">
        <is>
          <t>https://www.facebook.com/ads/library/?id=1416387557067660</t>
        </is>
      </c>
    </row>
    <row r="380">
      <c r="A380" s="5" t="n">
        <v>359</v>
      </c>
      <c r="B380" s="5" t="inlineStr">
        <is>
          <t>Kiplings- Déli &amp; Bistro</t>
        </is>
      </c>
      <c r="C380" s="5" t="inlineStr">
        <is>
          <t>Other Advertiser (Event / Service / Direct-to-Consumer)</t>
        </is>
      </c>
      <c r="D380" s="5" t="inlineStr">
        <is>
          <t>Inorbit Mall Cyberabad</t>
        </is>
      </c>
      <c r="E380" s="5" t="inlineStr">
        <is>
          <t>Hyderabad</t>
        </is>
      </c>
      <c r="F380" s="5" t="inlineStr">
        <is>
          <t>LIVE</t>
        </is>
      </c>
      <c r="G380" s="5" t="inlineStr">
        <is>
          <t>31 Aug 2026</t>
        </is>
      </c>
      <c r="H380" s="5" t="n">
        <v>2</v>
      </c>
      <c r="I380" s="5" t="inlineStr">
        <is>
          <t>Fresh Test (&lt;30d)</t>
        </is>
      </c>
      <c r="J380" s="5" t="inlineStr">
        <is>
          <t>Learn More</t>
        </is>
      </c>
      <c r="K380" s="6" t="inlineStr">
        <is>
          <t>A little retail therapy, followed by a little food therapy.</t>
        </is>
      </c>
      <c r="L380" s="6" t="inlineStr">
        <is>
          <t>A little retail therapy, followed by a little food therapy. Make Kiplings your post-shopping stop for freshly made food, coffee, desserts and a little time to slow down.   📍 Level 4, Inorbit Mall, Hyderabad . . . #KiplingsHyderabad #shoppingday  #Hyderabad  #inorbitmall  [KiplingsHyderabad, InorbitMall, HyderabadCafe, HyderabadFoodies, ChocolateCake, ColdBrew, CoffeeHyderabad, LatteArt, MarketPlace, Viennoiserie, HyderabadEats, Espresso, NewRestaurantHyderabad, DeliAndBistro] 0:00 / 0:43 INSTAG</t>
        </is>
      </c>
      <c r="M380" s="5" t="inlineStr">
        <is>
          <t>https://www.facebook.com/ads/library/?id=1954241781908334</t>
        </is>
      </c>
    </row>
    <row r="381">
      <c r="A381" s="7" t="n">
        <v>360</v>
      </c>
      <c r="B381" s="7" t="inlineStr">
        <is>
          <t>Meettosocializeofficial</t>
        </is>
      </c>
      <c r="C381" s="7" t="inlineStr">
        <is>
          <t>Other Advertiser (Event / Service / Direct-to-Consumer)</t>
        </is>
      </c>
      <c r="D381" s="7" t="inlineStr">
        <is>
          <t>Inorbit Mall Cyberabad</t>
        </is>
      </c>
      <c r="E381" s="7" t="inlineStr">
        <is>
          <t>Hyderabad</t>
        </is>
      </c>
      <c r="F381" s="7" t="inlineStr">
        <is>
          <t>off</t>
        </is>
      </c>
      <c r="G381" s="7" t="inlineStr">
        <is>
          <t>31 Aug 2026</t>
        </is>
      </c>
      <c r="H381" s="7" t="n">
        <v>2</v>
      </c>
      <c r="I381" s="7" t="inlineStr">
        <is>
          <t>Fresh Test (&lt;30d)</t>
        </is>
      </c>
      <c r="J381" s="7" t="inlineStr">
        <is>
          <t>Learn More</t>
        </is>
      </c>
      <c r="K381" s="8" t="inlineStr">
        <is>
          <t>Your weekend just found its soundtrack!</t>
        </is>
      </c>
      <c r="L381" s="8" t="inlineStr">
        <is>
          <t>Your weekend just found its soundtrack!  Get ready for Weekend Jamming With Safar at the spectacular rooftop of Amnesia Sky Bar. Enjoy your favourite Telugu &amp; Hindi melodies, Bollywood chartbusters, and soulful live music as you soak in the sunset vibes. ✨🎸 📅 Saturday, September 5 ⏰ 5 PM onwards 📍 Amnesia Sky Bar, Inorbit Mall, Madhapur  🎟️ Offline bookings starting at just ₹249 Bring your friends, sing along, and make your Saturday unforgettable! 💖 IN.BOOKMYSHOW.COM Saturday Live Music at</t>
        </is>
      </c>
      <c r="M381" s="7" t="inlineStr">
        <is>
          <t>https://www.facebook.com/ads/library/?id=1565340444459920</t>
        </is>
      </c>
    </row>
    <row r="382">
      <c r="A382" s="5" t="n">
        <v>361</v>
      </c>
      <c r="B382" s="5" t="inlineStr">
        <is>
          <t>Meettosocializeofficial</t>
        </is>
      </c>
      <c r="C382" s="5" t="inlineStr">
        <is>
          <t>Other Advertiser (Event / Service / Direct-to-Consumer)</t>
        </is>
      </c>
      <c r="D382" s="5" t="inlineStr">
        <is>
          <t>Inorbit Mall Cyberabad</t>
        </is>
      </c>
      <c r="E382" s="5" t="inlineStr">
        <is>
          <t>Hyderabad</t>
        </is>
      </c>
      <c r="F382" s="5" t="inlineStr">
        <is>
          <t>LIVE</t>
        </is>
      </c>
      <c r="G382" s="5" t="inlineStr">
        <is>
          <t>31 Aug 2026</t>
        </is>
      </c>
      <c r="H382" s="5" t="n">
        <v>2</v>
      </c>
      <c r="I382" s="5" t="inlineStr">
        <is>
          <t>Fresh Test (&lt;30d)</t>
        </is>
      </c>
      <c r="J382" s="5" t="inlineStr">
        <is>
          <t>Learn More</t>
        </is>
      </c>
      <c r="K382" s="6" t="inlineStr">
        <is>
          <t>Saturday plans made easy!</t>
        </is>
      </c>
      <c r="L382" s="6" t="inlineStr">
        <is>
          <t>Saturday plans made easy! Join us for an evening of acoustic hits and sunset views with Meet To Socialize (MTS) presents Weekend Jamming with Band Safar. Sing along to your favorite track list while enjoying the rooftop atmosphere at Amnesia Sky Bar. 🎤🌇  📅 Saturday, September 5 ⏰ 5 PM to 8 PM 📍 Amnesia Sky Bar, Inorbit Mall, Madhapur 🎟️ Tickets starting at just ₹249  Reserve your tables now and gear up for a great night out! IN.BOOKMYSHOW.COM Saturday Live Music at Amnesia Book online ticke</t>
        </is>
      </c>
      <c r="M382" s="5" t="inlineStr">
        <is>
          <t>https://www.facebook.com/ads/library/?id=1583792043490915</t>
        </is>
      </c>
    </row>
    <row r="383">
      <c r="A383" s="7" t="n">
        <v>362</v>
      </c>
      <c r="B383" s="7" t="inlineStr">
        <is>
          <t>Kiplings- Déli &amp; Bistro</t>
        </is>
      </c>
      <c r="C383" s="7" t="inlineStr">
        <is>
          <t>Other Advertiser (Event / Service / Direct-to-Consumer)</t>
        </is>
      </c>
      <c r="D383" s="7" t="inlineStr">
        <is>
          <t>Inorbit Mall Cyberabad</t>
        </is>
      </c>
      <c r="E383" s="7" t="inlineStr">
        <is>
          <t>Hyderabad</t>
        </is>
      </c>
      <c r="F383" s="7" t="inlineStr">
        <is>
          <t>LIVE</t>
        </is>
      </c>
      <c r="G383" s="7" t="inlineStr">
        <is>
          <t>31 Aug 2026</t>
        </is>
      </c>
      <c r="H383" s="7" t="n">
        <v>2</v>
      </c>
      <c r="I383" s="7" t="inlineStr">
        <is>
          <t>Fresh Test (&lt;30d)</t>
        </is>
      </c>
      <c r="J383" s="7" t="inlineStr">
        <is>
          <t>Learn More</t>
        </is>
      </c>
      <c r="K383" s="8" t="inlineStr">
        <is>
          <t>From London’s most talked-about indulgence to Hyderabad’s finest table.</t>
        </is>
      </c>
      <c r="L383" s="8" t="inlineStr">
        <is>
          <t>From London’s most talked-about indulgence to Hyderabad’s finest table. Experience the viral chocolate cake, reimagined with the elegance of true patisserie.   📍 Level 4, Inorbit Mall, Hyderabad . . . #KiplingsHyderabad #virallondoncake  #Hyderabad #inorbitmall  [KiplingsHyderabad, InorbitMall, HyderabadCafe, HyderabadFoodies, ChocolateCake, LondonViralCake, ViralCake, ColdBrew, CoffeeHyderabad, LatteArt, MarketPlace, Viennoiserie, HyderabadEats, Espresso, NewRestaurantHyderabad, DeliAndBistro]</t>
        </is>
      </c>
      <c r="M383" s="7" t="inlineStr">
        <is>
          <t>https://www.facebook.com/ads/library/?id=1820442628960478</t>
        </is>
      </c>
    </row>
    <row r="384">
      <c r="A384" s="5" t="n">
        <v>363</v>
      </c>
      <c r="B384" s="5" t="inlineStr">
        <is>
          <t>Pride Purple Group</t>
        </is>
      </c>
      <c r="C384" s="5" t="inlineStr">
        <is>
          <t>Real Estate Developer (Location-Piggyback)</t>
        </is>
      </c>
      <c r="D384" s="5" t="inlineStr">
        <is>
          <t>Phoenix Marketcity Pune</t>
        </is>
      </c>
      <c r="E384" s="5" t="inlineStr">
        <is>
          <t>Pune</t>
        </is>
      </c>
      <c r="F384" s="5" t="inlineStr">
        <is>
          <t>LIVE</t>
        </is>
      </c>
      <c r="G384" s="5" t="inlineStr">
        <is>
          <t>1 Sep 2026</t>
        </is>
      </c>
      <c r="H384" s="5" t="n">
        <v>1</v>
      </c>
      <c r="I384" s="5" t="inlineStr">
        <is>
          <t>Fresh Test (&lt;30d)</t>
        </is>
      </c>
      <c r="J384" s="5" t="inlineStr">
        <is>
          <t>Learn More</t>
        </is>
      </c>
      <c r="K384" s="6" t="inlineStr">
        <is>
          <t>Your everyday just got more active.</t>
        </is>
      </c>
      <c r="L384" s="6" t="inlineStr">
        <is>
          <t>Your everyday just got more active.  At Park Eden, Real Kharadi, discover thoughtfully designed *3 &amp; 4 BHK residences* where an active lifestyle comes naturally. From a refreshing swimming pool and a well-equipped gym to thoughtfully designed spaces, every element encourages you to move, unwind, and enjoy a more fulfilling everyday.  Starting at *₹1.99 Cr. **  Enjoy seamless connectivity with: * EON IT Park – 5 mins * Pune-Nagar Highway – 10 mins * Manipal Hospital – 10 mins * Phoenix Marketcity</t>
        </is>
      </c>
      <c r="M384" s="5" t="inlineStr">
        <is>
          <t>https://www.facebook.com/ads/library/?id=1386697716944252</t>
        </is>
      </c>
    </row>
    <row r="385">
      <c r="A385" s="7" t="n">
        <v>364</v>
      </c>
      <c r="B385" s="7" t="inlineStr">
        <is>
          <t>KOPA Pune</t>
        </is>
      </c>
      <c r="C385" s="7" t="inlineStr">
        <is>
          <t>Mall / Landlord (Direct Competitor)</t>
        </is>
      </c>
      <c r="D385" s="7" t="inlineStr">
        <is>
          <t>Seasons Mall Pune</t>
        </is>
      </c>
      <c r="E385" s="7" t="inlineStr">
        <is>
          <t>Pune</t>
        </is>
      </c>
      <c r="F385" s="7" t="inlineStr">
        <is>
          <t>LIVE</t>
        </is>
      </c>
      <c r="G385" s="7" t="inlineStr">
        <is>
          <t>1 Sep 2026</t>
        </is>
      </c>
      <c r="H385" s="7" t="n">
        <v>1</v>
      </c>
      <c r="I385" s="7" t="inlineStr">
        <is>
          <t>Fresh Test (&lt;30d)</t>
        </is>
      </c>
      <c r="J385" s="7" t="inlineStr">
        <is>
          <t>Learn More</t>
        </is>
      </c>
      <c r="K385" s="8" t="inlineStr">
        <is>
          <t>September plans just got a whole lot more exciting at Kopa Mall!</t>
        </is>
      </c>
      <c r="L385" s="8" t="inlineStr">
        <is>
          <t>September plans just got a whole lot more exciting at Kopa Mall! ✨  (Pune mall, Kopa Mall, shopping in Pune, events in Pune, things to do in Pune, restaurants in Pune, family entertainment Pune, September events Pune) INSTAGRAM.COM Visit Instagram Profile   INSTAGRAM.COM Visit Instagram Profile   INSTAGRAM.COM Visit Instagram Profile   INSTAGRAM.COM Visit Instagram Profile   INSTAGRAM.COM Visit Instagram Profile   INSTAGRAM.COM Visit Instagram Profile   INSTAGRAM.COM Visit Instagram Profile   IN</t>
        </is>
      </c>
      <c r="M385" s="7" t="inlineStr">
        <is>
          <t>https://www.facebook.com/ads/library/?id=1058563629915536</t>
        </is>
      </c>
    </row>
    <row r="386">
      <c r="A386" s="5" t="n">
        <v>365</v>
      </c>
      <c r="B386" s="5" t="inlineStr">
        <is>
          <t>Acrevon Real Estate</t>
        </is>
      </c>
      <c r="C386" s="5" t="inlineStr">
        <is>
          <t>Real Estate Developer (Location-Piggyback)</t>
        </is>
      </c>
      <c r="D386" s="5" t="inlineStr">
        <is>
          <t>Seasons Mall Pune</t>
        </is>
      </c>
      <c r="E386" s="5" t="inlineStr">
        <is>
          <t>Pune</t>
        </is>
      </c>
      <c r="F386" s="5" t="inlineStr">
        <is>
          <t>LIVE</t>
        </is>
      </c>
      <c r="G386" s="5" t="inlineStr">
        <is>
          <t>1 Sep 2026</t>
        </is>
      </c>
      <c r="H386" s="5" t="n">
        <v>1</v>
      </c>
      <c r="I386" s="5" t="inlineStr">
        <is>
          <t>Fresh Test (&lt;30d)</t>
        </is>
      </c>
      <c r="J386" s="5" t="inlineStr">
        <is>
          <t>Learn More</t>
        </is>
      </c>
      <c r="K386" s="6" t="inlineStr">
        <is>
          <t xml:space="preserve">2 BHK </t>
        </is>
      </c>
      <c r="L386" s="6" t="inlineStr">
        <is>
          <t>2 BHK | 866 Carpet | 1.25 Cr (All inclusive) Contact : +91 78753 54434 FB.ME 2 BHK | 866 Carpet | 1.25 Cr (All inclusive) Nearing possession | Land owners last few units See Details Nearing possession | Land owners last few units FB.ME See Details   FB.ME See Details   ​ Active</t>
        </is>
      </c>
      <c r="M386" s="5" t="inlineStr">
        <is>
          <t>https://www.facebook.com/ads/library/?id=4412026052351803</t>
        </is>
      </c>
    </row>
    <row r="387">
      <c r="A387" s="7" t="n">
        <v>366</v>
      </c>
      <c r="B387" s="7" t="inlineStr">
        <is>
          <t>Anandtara Group</t>
        </is>
      </c>
      <c r="C387" s="7" t="inlineStr">
        <is>
          <t>Real Estate Developer (Location-Piggyback)</t>
        </is>
      </c>
      <c r="D387" s="7" t="inlineStr">
        <is>
          <t>Seasons Mall Pune</t>
        </is>
      </c>
      <c r="E387" s="7" t="inlineStr">
        <is>
          <t>Pune</t>
        </is>
      </c>
      <c r="F387" s="7" t="inlineStr">
        <is>
          <t>off</t>
        </is>
      </c>
      <c r="G387" s="7" t="inlineStr">
        <is>
          <t>1 Sep 2026</t>
        </is>
      </c>
      <c r="H387" s="7" t="n">
        <v>1</v>
      </c>
      <c r="I387" s="7" t="inlineStr">
        <is>
          <t>Fresh Test (&lt;30d)</t>
        </is>
      </c>
      <c r="J387" s="7" t="inlineStr">
        <is>
          <t>Learn More</t>
        </is>
      </c>
      <c r="K387" s="8" t="inlineStr">
        <is>
          <t>What if your next home gave you more room to live?</t>
        </is>
      </c>
      <c r="L387" s="8" t="inlineStr">
        <is>
          <t>What if your next home gave you more room to live?  At Iris by Anandtara Properties, you get 1283 sq. ft. of carpet area in the well-connected neighbourhood of Keshav Nagar. Close to Kharadi, Magarpatta, Amanora Mall, Seasons Mall, schools and healthcare — everything your family needs, within easy reach.  With only 55 units remaining, the choice is getting limited.  Book a site visit today. Connect with us at: 077580 00800 0:00 / 1:39 API.WHATSAPP.COM Residential property with 1283 sq. ft. of ca</t>
        </is>
      </c>
      <c r="M387" s="7" t="inlineStr">
        <is>
          <t>https://www.facebook.com/ads/library/?id=2193817131163206</t>
        </is>
      </c>
    </row>
    <row r="388">
      <c r="A388" s="5" t="n">
        <v>367</v>
      </c>
      <c r="B388" s="5" t="inlineStr">
        <is>
          <t>Amanora Park Town</t>
        </is>
      </c>
      <c r="C388" s="5" t="inlineStr">
        <is>
          <t>Mall / Landlord (Direct Competitor)</t>
        </is>
      </c>
      <c r="D388" s="5" t="inlineStr">
        <is>
          <t>Amanora Mall Pune</t>
        </is>
      </c>
      <c r="E388" s="5" t="inlineStr">
        <is>
          <t>Pune</t>
        </is>
      </c>
      <c r="F388" s="5" t="inlineStr">
        <is>
          <t>LIVE</t>
        </is>
      </c>
      <c r="G388" s="5" t="inlineStr">
        <is>
          <t>1 Sep 2026</t>
        </is>
      </c>
      <c r="H388" s="5" t="n">
        <v>1</v>
      </c>
      <c r="I388" s="5" t="inlineStr">
        <is>
          <t>Fresh Test (&lt;30d)</t>
        </is>
      </c>
      <c r="J388" s="5" t="inlineStr">
        <is>
          <t>Learn More</t>
        </is>
      </c>
      <c r="K388" s="6" t="inlineStr">
        <is>
          <t>Gateway Towers 101 is positioned at the heart of Pune's most connected corridor.</t>
        </is>
      </c>
      <c r="L388" s="6" t="inlineStr">
        <is>
          <t>Gateway Towers 101 is positioned at the heart of Pune's most connected corridor. Everything that defines the city's finest living is within reach and yet, from this address, you are above it all.   - Tallest Tower In Pune - Quick Access to Koregaon Park, Magarpatta &amp; SP Infocity - Amanora Mall &amp; Seasons Mall at the doorstep - Premier schools, hospitals &amp; hospitality within the township - Hadapsar — Pune's fastest-growing premium address Pune's most Tallest Tower Prestige Living in Amanora Park T</t>
        </is>
      </c>
      <c r="M388" s="5" t="inlineStr">
        <is>
          <t>https://www.facebook.com/ads/library/?id=2290451118026636</t>
        </is>
      </c>
    </row>
    <row r="389">
      <c r="A389" s="7" t="n">
        <v>368</v>
      </c>
      <c r="B389" s="7" t="inlineStr">
        <is>
          <t>Pristine Developers</t>
        </is>
      </c>
      <c r="C389" s="7" t="inlineStr">
        <is>
          <t>Real Estate Developer (Location-Piggyback)</t>
        </is>
      </c>
      <c r="D389" s="7" t="inlineStr">
        <is>
          <t>KOPA Mall Pune</t>
        </is>
      </c>
      <c r="E389" s="7" t="inlineStr">
        <is>
          <t>Pune</t>
        </is>
      </c>
      <c r="F389" s="7" t="inlineStr">
        <is>
          <t>LIVE</t>
        </is>
      </c>
      <c r="G389" s="7" t="inlineStr">
        <is>
          <t>1 Sep 2026</t>
        </is>
      </c>
      <c r="H389" s="7" t="n">
        <v>1</v>
      </c>
      <c r="I389" s="7" t="inlineStr">
        <is>
          <t>Fresh Test (&lt;30d)</t>
        </is>
      </c>
      <c r="J389" s="7" t="inlineStr">
        <is>
          <t>Learn More</t>
        </is>
      </c>
      <c r="K389" s="8" t="inlineStr">
        <is>
          <t>Inspired by the elegance of Saif Ali Khan.</t>
        </is>
      </c>
      <c r="L389" s="8"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Pristine Developer</t>
        </is>
      </c>
      <c r="M389" s="7" t="inlineStr">
        <is>
          <t>https://www.facebook.com/ads/library/?id=2061215314520245</t>
        </is>
      </c>
    </row>
    <row r="390">
      <c r="A390" s="5" t="n">
        <v>369</v>
      </c>
      <c r="B390" s="5" t="inlineStr">
        <is>
          <t>Pristine Developers</t>
        </is>
      </c>
      <c r="C390" s="5" t="inlineStr">
        <is>
          <t>Real Estate Developer (Location-Piggyback)</t>
        </is>
      </c>
      <c r="D390" s="5" t="inlineStr">
        <is>
          <t>KOPA Mall Pune</t>
        </is>
      </c>
      <c r="E390" s="5" t="inlineStr">
        <is>
          <t>Pune</t>
        </is>
      </c>
      <c r="F390" s="5" t="inlineStr">
        <is>
          <t>LIVE</t>
        </is>
      </c>
      <c r="G390" s="5" t="inlineStr">
        <is>
          <t>1 Sep 2026</t>
        </is>
      </c>
      <c r="H390" s="5" t="n">
        <v>1</v>
      </c>
      <c r="I390" s="5" t="inlineStr">
        <is>
          <t>Fresh Test (&lt;30d)</t>
        </is>
      </c>
      <c r="J390" s="5" t="inlineStr">
        <is>
          <t>Learn More</t>
        </is>
      </c>
      <c r="K390" s="6" t="inlineStr">
        <is>
          <t>Inspired by the elegance of Saif Ali Khan.</t>
        </is>
      </c>
      <c r="L390" s="6"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Pristine Developer</t>
        </is>
      </c>
      <c r="M390" s="5" t="inlineStr">
        <is>
          <t>https://www.facebook.com/ads/library/?id=1567103928529026</t>
        </is>
      </c>
    </row>
    <row r="391">
      <c r="A391" s="7" t="n">
        <v>370</v>
      </c>
      <c r="B391" s="7" t="inlineStr">
        <is>
          <t>Pristine Developers</t>
        </is>
      </c>
      <c r="C391" s="7" t="inlineStr">
        <is>
          <t>Real Estate Developer (Location-Piggyback)</t>
        </is>
      </c>
      <c r="D391" s="7" t="inlineStr">
        <is>
          <t>KOPA Mall Pune</t>
        </is>
      </c>
      <c r="E391" s="7" t="inlineStr">
        <is>
          <t>Pune</t>
        </is>
      </c>
      <c r="F391" s="7" t="inlineStr">
        <is>
          <t>LIVE</t>
        </is>
      </c>
      <c r="G391" s="7" t="inlineStr">
        <is>
          <t>1 Sep 2026</t>
        </is>
      </c>
      <c r="H391" s="7" t="n">
        <v>1</v>
      </c>
      <c r="I391" s="7" t="inlineStr">
        <is>
          <t>Fresh Test (&lt;30d)</t>
        </is>
      </c>
      <c r="J391" s="7" t="inlineStr">
        <is>
          <t>Learn More</t>
        </is>
      </c>
      <c r="K391" s="8" t="inlineStr">
        <is>
          <t>Inspired by the elegance of Saif Ali Khan.</t>
        </is>
      </c>
      <c r="L391" s="8" t="inlineStr">
        <is>
          <t>Inspired by the elegance of Saif Ali Khan. Discover UHA London-designed residences in Kalyani Nagar, Pune.  ✔️ Signature 3, 4.5 &amp; 5 BHK Residences | From ₹4 Cr* ✔️ Just 4 Residences per Floor with 4 High-Speed Lifts ✔️ In-House 24x7 ER, Doctor-on-Call &amp; Ambulance ✔️ Prime Heart of Kalyani Nagar Near Kopa Mall Premium Residences at Pristine Amore Pristine Developer</t>
        </is>
      </c>
      <c r="M391" s="7" t="inlineStr">
        <is>
          <t>https://www.facebook.com/ads/library/?id=1002329732834140</t>
        </is>
      </c>
    </row>
    <row r="392">
      <c r="A392" s="5" t="n">
        <v>371</v>
      </c>
      <c r="B392" s="5" t="inlineStr">
        <is>
          <t>Pristine Developers</t>
        </is>
      </c>
      <c r="C392" s="5" t="inlineStr">
        <is>
          <t>Real Estate Developer (Location-Piggyback)</t>
        </is>
      </c>
      <c r="D392" s="5" t="inlineStr">
        <is>
          <t>KOPA Mall Pune</t>
        </is>
      </c>
      <c r="E392" s="5" t="inlineStr">
        <is>
          <t>Pune</t>
        </is>
      </c>
      <c r="F392" s="5" t="inlineStr">
        <is>
          <t>LIVE</t>
        </is>
      </c>
      <c r="G392" s="5" t="inlineStr">
        <is>
          <t>1 Sep 2026</t>
        </is>
      </c>
      <c r="H392" s="5" t="n">
        <v>1</v>
      </c>
      <c r="I392" s="5" t="inlineStr">
        <is>
          <t>Fresh Test (&lt;30d)</t>
        </is>
      </c>
      <c r="J392" s="5" t="inlineStr">
        <is>
          <t>Learn More</t>
        </is>
      </c>
      <c r="K392" s="6" t="inlineStr">
        <is>
          <t>Discover refined living inspired by Saif Ali Khan at Pristine Amore, Kalyani Nagar, Pune.</t>
        </is>
      </c>
      <c r="L392" s="6" t="inlineStr">
        <is>
          <t>Discover refined living inspired by Saif Ali Khan at Pristine Amore, Kalyani Nagar, Pune.  ✔️ Signature 3, 4.5 &amp; 5 BHK Residences | From ₹4 Cr* ✔️ Just 4 Residences per Floor with 4 High-Speed Lifts ✔️ In-House 24x7 ER, Doctor-on-Call &amp; Ambulance ✔️ Prime Heart of Kalyani Nagar Near Kopa Mall Premium Residences at Pristine Amore Book Your Exclusive Site Visit Today!</t>
        </is>
      </c>
      <c r="M392" s="5" t="inlineStr">
        <is>
          <t>https://www.facebook.com/ads/library/?id=1772771867194388</t>
        </is>
      </c>
    </row>
    <row r="393">
      <c r="A393" s="7" t="n">
        <v>372</v>
      </c>
      <c r="B393" s="7" t="inlineStr">
        <is>
          <t>Broadway Live</t>
        </is>
      </c>
      <c r="C393" s="7" t="inlineStr">
        <is>
          <t>Other Advertiser (Event / Service / Direct-to-Consumer)</t>
        </is>
      </c>
      <c r="D393" s="7" t="inlineStr">
        <is>
          <t>KOPA Mall Pune</t>
        </is>
      </c>
      <c r="E393" s="7" t="inlineStr">
        <is>
          <t>Pune</t>
        </is>
      </c>
      <c r="F393" s="7" t="inlineStr">
        <is>
          <t>LIVE</t>
        </is>
      </c>
      <c r="G393" s="7" t="inlineStr">
        <is>
          <t>1 Sep 2026</t>
        </is>
      </c>
      <c r="H393" s="7" t="n">
        <v>1</v>
      </c>
      <c r="I393" s="7" t="inlineStr">
        <is>
          <t>Fresh Test (&lt;30d)</t>
        </is>
      </c>
      <c r="J393" s="7" t="inlineStr">
        <is>
          <t>Learn More</t>
        </is>
      </c>
      <c r="K393" s="8" t="inlineStr">
        <is>
          <t>✨ Salon-style hair, without the salon visit.</t>
        </is>
      </c>
      <c r="L393" s="8" t="inlineStr">
        <is>
          <t>✨ Salon-style hair, without the salon visit.  Meet the Winston 4-in-1 Hair Blow Brush — designed to dry, volumize, smooth and style your hair with ease, all in one tool.  ✔ Steady Drying ✔ Volume &amp; Multi-Styling ✔ Effortless Curls  🚚 Free 2-Hour Delivery in Delhi NCR, Hyderabad, Mumbai &amp; Pune.  📍 Ground Floor, Ambience Mall, Vasant Kunj, Delhi 📍 Road No.2, Banjara Hills, Hyderabad 📍 Kopa Mall, Pune 📍 Hill Road, Bandra, Mumbai  [Hair styling, Blow dry brush, Hair tools, Frizz free hair, Salo</t>
        </is>
      </c>
      <c r="M393" s="7" t="inlineStr">
        <is>
          <t>https://www.facebook.com/ads/library/?id=1392910482798925</t>
        </is>
      </c>
    </row>
    <row r="394">
      <c r="A394" s="5" t="n">
        <v>373</v>
      </c>
      <c r="B394" s="5" t="inlineStr">
        <is>
          <t>LuLu Mall Hyderabad</t>
        </is>
      </c>
      <c r="C394" s="5" t="inlineStr">
        <is>
          <t>Mall / Landlord (Direct Competitor)</t>
        </is>
      </c>
      <c r="D394" s="5" t="inlineStr">
        <is>
          <t>Lulu Mall Hyderabad</t>
        </is>
      </c>
      <c r="E394" s="5" t="inlineStr">
        <is>
          <t>Hyderabad</t>
        </is>
      </c>
      <c r="F394" s="5" t="inlineStr">
        <is>
          <t>LIVE</t>
        </is>
      </c>
      <c r="G394" s="5" t="inlineStr">
        <is>
          <t>1 Sep 2026</t>
        </is>
      </c>
      <c r="H394" s="5" t="n">
        <v>1</v>
      </c>
      <c r="I394" s="5" t="inlineStr">
        <is>
          <t>Fresh Test (&lt;30d)</t>
        </is>
      </c>
      <c r="J394" s="5" t="inlineStr">
        <is>
          <t>Learn More</t>
        </is>
      </c>
      <c r="K394" s="6" t="inlineStr">
        <is>
          <t>Art cast in resin, bound by love.</t>
        </is>
      </c>
      <c r="L394" s="6" t="inlineStr">
        <is>
          <t>Art cast in resin, bound by love. ✨   Catch a glimpse of our Resin Rakhi Making Workshop at LuLu Mall Hyderabad, where hands crafted custom keepsakes to celebrate this special bond.   Press play to see the creativity and heart behind every piece! 🎨💖  #LuLuMallHyderabad #ResinArt #RakshaBandhan #RakhiWorkshop #DIYRakhi #HyderabadWorkshops #FestiveVibes 0:00 / 0:37 WWW.INSTAGRAM.COM LuLu Mall Hyderabad See details ​ Active</t>
        </is>
      </c>
      <c r="M394" s="5" t="inlineStr">
        <is>
          <t>https://www.facebook.com/ads/library/?id=1077464964771226</t>
        </is>
      </c>
    </row>
    <row r="395">
      <c r="A395" s="7" t="n">
        <v>374</v>
      </c>
      <c r="B395" s="7" t="inlineStr">
        <is>
          <t>Jus' Jumpin'</t>
        </is>
      </c>
      <c r="C395" s="7" t="inlineStr">
        <is>
          <t>Other Advertiser (Event / Service / Direct-to-Consumer)</t>
        </is>
      </c>
      <c r="D395" s="7" t="inlineStr">
        <is>
          <t>Sarath City Capital Mall</t>
        </is>
      </c>
      <c r="E395" s="7" t="inlineStr">
        <is>
          <t>Hyderabad</t>
        </is>
      </c>
      <c r="F395" s="7" t="inlineStr">
        <is>
          <t>off</t>
        </is>
      </c>
      <c r="G395" s="7" t="inlineStr">
        <is>
          <t>1 Sep 2026</t>
        </is>
      </c>
      <c r="H395" s="7" t="n">
        <v>1</v>
      </c>
      <c r="I395" s="7" t="inlineStr">
        <is>
          <t>Fresh Test (&lt;30d)</t>
        </is>
      </c>
      <c r="J395" s="7" t="inlineStr">
        <is>
          <t>Learn More</t>
        </is>
      </c>
      <c r="K395" s="8" t="inlineStr">
        <is>
          <t>Ready for a day packed with jumps, games &amp; endless fun?</t>
        </is>
      </c>
      <c r="L395" s="8" t="inlineStr">
        <is>
          <t>Ready for a day packed with jumps, games &amp; endless fun? 🤸‍♀️🎮 Bring your kids to Jus’ Jumpin at Sarath City Capital Mall and let the adventure begin! 🎉 0:00 / 0:33 FACEBOOK.COM Fun Starts at Jus’ Jumpin! 🎉 Your next family adventure starts at Jus’ Jumpin! Contact us ​ Inactive</t>
        </is>
      </c>
      <c r="M395" s="7" t="inlineStr">
        <is>
          <t>https://www.facebook.com/ads/library/?id=1004542425951474</t>
        </is>
      </c>
    </row>
    <row r="396">
      <c r="A396" s="5" t="n">
        <v>375</v>
      </c>
      <c r="B396" s="5" t="inlineStr">
        <is>
          <t>Asian Cinemas</t>
        </is>
      </c>
      <c r="C396" s="5" t="inlineStr">
        <is>
          <t>Other Advertiser (Event / Service / Direct-to-Consumer)</t>
        </is>
      </c>
      <c r="D396" s="5" t="inlineStr">
        <is>
          <t>Inorbit Mall Cyberabad</t>
        </is>
      </c>
      <c r="E396" s="5" t="inlineStr">
        <is>
          <t>Hyderabad</t>
        </is>
      </c>
      <c r="F396" s="5" t="inlineStr">
        <is>
          <t>LIVE</t>
        </is>
      </c>
      <c r="G396" s="5" t="inlineStr">
        <is>
          <t>1 Sep 2026</t>
        </is>
      </c>
      <c r="H396" s="5" t="n">
        <v>1</v>
      </c>
      <c r="I396" s="5" t="inlineStr">
        <is>
          <t>Fresh Test (&lt;30d)</t>
        </is>
      </c>
      <c r="J396" s="5" t="inlineStr">
        <is>
          <t>Learn More</t>
        </is>
      </c>
      <c r="K396" s="6" t="inlineStr">
        <is>
          <t>Your #Romanchakam ride begins here ❤️‍🔥  HYDERABAD SPECIAL PREMIERES on September 2nd 💥💥  Bookings are open now 😍🫶🏻  Com</t>
        </is>
      </c>
      <c r="L396" s="6" t="inlineStr">
        <is>
          <t>Your #Romanchakam ride begins here ❤️‍🔥  HYDERABAD SPECIAL PREMIERES on September 2nd 💥💥  Bookings are open now 😍🫶🏻  Come in as a GANG… Exit with a BANG 🔥🔥  @sandeepreddy.vanga @sumanth.prabhas @ananthika_sanilkumar @pranayreddyvanga @venuvgr @upendralimaye @vasuki_vaibhav_ @pavan.pappula @venkateshkakumanu @narendra_ravii @m.sai_sohan @mani_aegurla @akeerthanaaa @kushi_dw @chandu_kuteer @srinivasvz @meeraqhmaanav @vsaitarun @bhadrakalipicturesofficial @romanchakamfilm @asiancinemas @aaf</t>
        </is>
      </c>
      <c r="M396" s="5" t="inlineStr">
        <is>
          <t>https://www.facebook.com/ads/library/?id=1537723518037000</t>
        </is>
      </c>
    </row>
    <row r="397">
      <c r="A397" s="7" t="n">
        <v>376</v>
      </c>
      <c r="B397" s="7" t="inlineStr">
        <is>
          <t>Travelogue and Food spots</t>
        </is>
      </c>
      <c r="C397" s="7" t="inlineStr">
        <is>
          <t>Other Advertiser (Event / Service / Direct-to-Consumer)</t>
        </is>
      </c>
      <c r="D397" s="7" t="inlineStr">
        <is>
          <t>Phoenix Marketcity Pune</t>
        </is>
      </c>
      <c r="E397" s="7" t="inlineStr">
        <is>
          <t>Pune</t>
        </is>
      </c>
      <c r="F397" s="7" t="inlineStr">
        <is>
          <t>LIVE</t>
        </is>
      </c>
      <c r="G397" s="7" t="inlineStr"/>
      <c r="H397" s="7" t="n"/>
      <c r="I397" s="7" t="inlineStr">
        <is>
          <t>Unknown</t>
        </is>
      </c>
      <c r="J397" s="7" t="inlineStr">
        <is>
          <t>Learn More</t>
        </is>
      </c>
      <c r="K397" s="8" t="inlineStr">
        <is>
          <t>🛍️🥮☕️🫖🥤A much needed break in between shopping!!</t>
        </is>
      </c>
      <c r="L397" s="8" t="inlineStr">
        <is>
          <t>🛍️🥮☕️🫖🥤A much needed break in between shopping!! PAUL CAFE, Phoenix Marketcity Pune  A delightful open space… With delectable delicacies… Perfect for brunch and lunch… Ample varieties in the menu….   #fyp #brunch #lunch #shopping #foodlover 0:00 / 0:37 INSTAGRAM.COM Travelogue and Food spots Visit Instagram profile ​ Active</t>
        </is>
      </c>
      <c r="M397" s="7" t="inlineStr">
        <is>
          <t>https://www.facebook.com/ads/library/?id=971856041997476</t>
        </is>
      </c>
    </row>
    <row r="398">
      <c r="A398" s="5" t="n">
        <v>377</v>
      </c>
      <c r="B398" s="5" t="inlineStr">
        <is>
          <t>Chetan Upadhyaya</t>
        </is>
      </c>
      <c r="C398" s="5" t="inlineStr">
        <is>
          <t>Other Advertiser (Event / Service / Direct-to-Consumer)</t>
        </is>
      </c>
      <c r="D398" s="5" t="inlineStr">
        <is>
          <t>Phoenix Marketcity Pune</t>
        </is>
      </c>
      <c r="E398" s="5" t="inlineStr">
        <is>
          <t>Pune</t>
        </is>
      </c>
      <c r="F398" s="5" t="inlineStr">
        <is>
          <t>LIVE</t>
        </is>
      </c>
      <c r="G398" s="5" t="inlineStr"/>
      <c r="H398" s="5" t="n"/>
      <c r="I398" s="5" t="inlineStr">
        <is>
          <t>Unknown</t>
        </is>
      </c>
      <c r="J398" s="5" t="inlineStr">
        <is>
          <t>Learn More</t>
        </is>
      </c>
      <c r="K398" s="6" t="inlineStr"/>
      <c r="L398" s="6" t="inlineStr">
        <is>
          <t>• Published by Chetan Upadhyaya This ad was run by an account or Page that we later disabled for not following our Advertising Standards. ​ Active</t>
        </is>
      </c>
      <c r="M398" s="5" t="inlineStr">
        <is>
          <t>https://www.facebook.com/ads/library/?id=563147239200677</t>
        </is>
      </c>
    </row>
    <row r="399">
      <c r="A399" s="7" t="n">
        <v>378</v>
      </c>
      <c r="B399" s="7" t="inlineStr">
        <is>
          <t>Udyog Solutions</t>
        </is>
      </c>
      <c r="C399" s="7" t="inlineStr">
        <is>
          <t>Other Advertiser (Event / Service / Direct-to-Consumer)</t>
        </is>
      </c>
      <c r="D399" s="7" t="inlineStr">
        <is>
          <t>Phoenix Marketcity Pune</t>
        </is>
      </c>
      <c r="E399" s="7" t="inlineStr">
        <is>
          <t>Pune</t>
        </is>
      </c>
      <c r="F399" s="7" t="inlineStr">
        <is>
          <t>LIVE</t>
        </is>
      </c>
      <c r="G399" s="7" t="inlineStr"/>
      <c r="H399" s="7" t="n"/>
      <c r="I399" s="7" t="inlineStr">
        <is>
          <t>Unknown</t>
        </is>
      </c>
      <c r="J399" s="7" t="inlineStr">
        <is>
          <t>Learn More</t>
        </is>
      </c>
      <c r="K399" s="8" t="inlineStr">
        <is>
          <t>This ad ran without a required disclaimer.</t>
        </is>
      </c>
      <c r="L399" s="8" t="inlineStr">
        <is>
          <t>This ad ran without a required disclaimer. ​ Active</t>
        </is>
      </c>
      <c r="M399" s="7" t="inlineStr">
        <is>
          <t>https://www.facebook.com/ads/library/?id=1162275297823424</t>
        </is>
      </c>
    </row>
    <row r="400">
      <c r="A400" s="5" t="n">
        <v>379</v>
      </c>
      <c r="B400" s="5" t="inlineStr">
        <is>
          <t>Ram Wakadkar</t>
        </is>
      </c>
      <c r="C400" s="5" t="inlineStr">
        <is>
          <t>Other Advertiser (Event / Service / Direct-to-Consumer)</t>
        </is>
      </c>
      <c r="D400" s="5" t="inlineStr">
        <is>
          <t>Phoenix Mall of the Millennium Wakad</t>
        </is>
      </c>
      <c r="E400" s="5" t="inlineStr">
        <is>
          <t>Pune</t>
        </is>
      </c>
      <c r="F400" s="5" t="inlineStr">
        <is>
          <t>LIVE</t>
        </is>
      </c>
      <c r="G400" s="5" t="inlineStr"/>
      <c r="H400" s="5" t="n"/>
      <c r="I400" s="5" t="inlineStr">
        <is>
          <t>Unknown</t>
        </is>
      </c>
      <c r="J400" s="5" t="inlineStr">
        <is>
          <t>Learn More</t>
        </is>
      </c>
      <c r="K400" s="6" t="inlineStr"/>
      <c r="L400" s="6" t="inlineStr">
        <is>
          <t>• Paid for by Fizito Digital Services भव्य दहीहंडी उत्सव 2024  आयोजक राम वाकडकर युथ फाऊंडेशन ...  Grand Dahihandi Festival 2024 organized by Ram Wakadkar Youth Social Foundation Tuesday the date. The event will be celebrated in a big way on 27th August 2024 at 6pm at Phoenix Mall of the Millennium, Wakad. It is a humble request that you all should attend this program and increase the grace of the event.  #dahihandi #janmashtami #krishna #maharashtra #lordkrishna #gopalkala #vrindavan #govinda #j</t>
        </is>
      </c>
      <c r="M400" s="5" t="inlineStr">
        <is>
          <t>https://www.facebook.com/ads/library/?id=4685043238388314</t>
        </is>
      </c>
    </row>
    <row r="401">
      <c r="A401" s="7" t="n">
        <v>380</v>
      </c>
      <c r="B401" s="7" t="inlineStr">
        <is>
          <t>Bhagwan Meeting Place of Friends</t>
        </is>
      </c>
      <c r="C401" s="7" t="inlineStr">
        <is>
          <t>Other Advertiser (Event / Service / Direct-to-Consumer)</t>
        </is>
      </c>
      <c r="D401" s="7" t="inlineStr">
        <is>
          <t>The Pavillion Pune</t>
        </is>
      </c>
      <c r="E401" s="7" t="inlineStr">
        <is>
          <t>Pune</t>
        </is>
      </c>
      <c r="F401" s="7" t="inlineStr">
        <is>
          <t>LIVE</t>
        </is>
      </c>
      <c r="G401" s="7" t="inlineStr"/>
      <c r="H401" s="7" t="n"/>
      <c r="I401" s="7" t="inlineStr">
        <is>
          <t>Unknown</t>
        </is>
      </c>
      <c r="J401" s="7" t="inlineStr">
        <is>
          <t>Learn More</t>
        </is>
      </c>
      <c r="K401" s="8" t="inlineStr">
        <is>
          <t>This content was removed because it didn't follow our Advertising Standards.</t>
        </is>
      </c>
      <c r="L401" s="8" t="inlineStr">
        <is>
          <t>This content was removed because it didn't follow our Advertising Standards. ​ Active</t>
        </is>
      </c>
      <c r="M401" s="7" t="inlineStr">
        <is>
          <t>https://www.facebook.com/ads/library/?id=219388093449720</t>
        </is>
      </c>
    </row>
    <row r="402">
      <c r="A402" s="5" t="n">
        <v>381</v>
      </c>
      <c r="B402" s="5" t="inlineStr">
        <is>
          <t>Zigly</t>
        </is>
      </c>
      <c r="C402" s="5" t="inlineStr">
        <is>
          <t>Other Advertiser (Event / Service / Direct-to-Consumer)</t>
        </is>
      </c>
      <c r="D402" s="5" t="inlineStr">
        <is>
          <t>The Pavillion Pune</t>
        </is>
      </c>
      <c r="E402" s="5" t="inlineStr">
        <is>
          <t>Pune</t>
        </is>
      </c>
      <c r="F402" s="5" t="inlineStr">
        <is>
          <t>LIVE</t>
        </is>
      </c>
      <c r="G402" s="5" t="inlineStr"/>
      <c r="H402" s="5" t="n"/>
      <c r="I402" s="5" t="inlineStr">
        <is>
          <t>Unknown</t>
        </is>
      </c>
      <c r="J402" s="5" t="inlineStr">
        <is>
          <t>Learn More</t>
        </is>
      </c>
      <c r="K402" s="6" t="inlineStr">
        <is>
          <t>Everything you need to know about International Happy Pets Day 2026 is now in one place!</t>
        </is>
      </c>
      <c r="L402" s="6" t="inlineStr">
        <is>
          <t>Everything you need to know about International Happy Pets Day 2026 is now in one place! 💛 Our IHPD Guidebook takes you through what the celebration is all about, this year’s ‘Better Together’ theme, hosting centres across India, ticket details, and everything you can look forward to on the day. Flip through, pick your city, and join us for India’s biggest celebration of pets and pet parenting. 🐶🐱 Book your tickets now and be part of the movement. 💙 #InternationalHappyPetsDay #IHPD2026 #Bett</t>
        </is>
      </c>
      <c r="M402" s="5" t="inlineStr">
        <is>
          <t>https://www.facebook.com/ads/library/?id=1662926885840604</t>
        </is>
      </c>
    </row>
    <row r="403">
      <c r="A403" s="7" t="n">
        <v>382</v>
      </c>
      <c r="B403" s="7" t="inlineStr">
        <is>
          <t>Jimmy Mistry</t>
        </is>
      </c>
      <c r="C403" s="7" t="inlineStr">
        <is>
          <t>Tenant / Retail Brand (Co-Op Candidate)</t>
        </is>
      </c>
      <c r="D403" s="7" t="inlineStr">
        <is>
          <t>The Pavillion Pune</t>
        </is>
      </c>
      <c r="E403" s="7" t="inlineStr">
        <is>
          <t>Pune</t>
        </is>
      </c>
      <c r="F403" s="7" t="inlineStr">
        <is>
          <t>off</t>
        </is>
      </c>
      <c r="G403" s="7" t="inlineStr"/>
      <c r="H403" s="7" t="n"/>
      <c r="I403" s="7" t="inlineStr">
        <is>
          <t>Unknown</t>
        </is>
      </c>
      <c r="J403" s="7" t="inlineStr">
        <is>
          <t>Learn More</t>
        </is>
      </c>
      <c r="K403" s="8" t="inlineStr">
        <is>
          <t>The August 2026 cover story of Today’s Traveller explores Della Townships × MAYRLIFE Altaussee—a global first that bring</t>
        </is>
      </c>
      <c r="L403" s="8" t="inlineStr">
        <is>
          <t>The August 2026 cover story of Today’s Traveller explores Della Townships × MAYRLIFE Altaussee—a global first that brings MAYRLIFE’s medical-wellness philosophy outside Austria for the first time.  Across 10 flagship destinations  Pune, Ahmedabad, Raipur, Nagpur, Igatpuri the collaboration is shaping Della’s vision of Salutogenic Living: communities designed around longevity, preventive medicine, nature, biophilic architecture, air and water wellness, hospitality and everyday wellbeing. With Med</t>
        </is>
      </c>
      <c r="M403" s="7" t="inlineStr">
        <is>
          <t>https://www.facebook.com/ads/library/?id=3513955462112430</t>
        </is>
      </c>
    </row>
    <row r="404">
      <c r="A404" s="5" t="n">
        <v>383</v>
      </c>
      <c r="B404" s="5" t="inlineStr">
        <is>
          <t>Cimage College, Patna</t>
        </is>
      </c>
      <c r="C404" s="5" t="inlineStr">
        <is>
          <t>Other Advertiser (Event / Service / Direct-to-Consumer)</t>
        </is>
      </c>
      <c r="D404" s="5" t="inlineStr">
        <is>
          <t>The Pavillion Pune</t>
        </is>
      </c>
      <c r="E404" s="5" t="inlineStr">
        <is>
          <t>Pune</t>
        </is>
      </c>
      <c r="F404" s="5" t="inlineStr">
        <is>
          <t>off</t>
        </is>
      </c>
      <c r="G404" s="5" t="inlineStr"/>
      <c r="H404" s="5" t="n"/>
      <c r="I404" s="5" t="inlineStr">
        <is>
          <t>Unknown</t>
        </is>
      </c>
      <c r="J404" s="5" t="inlineStr">
        <is>
          <t>Learn More</t>
        </is>
      </c>
      <c r="K404" s="6" t="inlineStr">
        <is>
          <t>To see this content, you need to confirm your age by logging in.</t>
        </is>
      </c>
      <c r="L404" s="6" t="inlineStr">
        <is>
          <t>To see this content, you need to confirm your age by logging in. Log in ​ Inactive</t>
        </is>
      </c>
      <c r="M404" s="5" t="inlineStr">
        <is>
          <t>https://www.facebook.com/ads/library/?id=7955325591176187</t>
        </is>
      </c>
    </row>
    <row r="405">
      <c r="A405" s="7" t="n">
        <v>384</v>
      </c>
      <c r="B405" s="7" t="inlineStr">
        <is>
          <t>Perfect Day: Organize Your Day</t>
        </is>
      </c>
      <c r="C405" s="7" t="inlineStr">
        <is>
          <t>Other Advertiser (Event / Service / Direct-to-Consumer)</t>
        </is>
      </c>
      <c r="D405" s="7" t="inlineStr">
        <is>
          <t>The Pavillion Pune</t>
        </is>
      </c>
      <c r="E405" s="7" t="inlineStr">
        <is>
          <t>Pune</t>
        </is>
      </c>
      <c r="F405" s="7" t="inlineStr">
        <is>
          <t>off</t>
        </is>
      </c>
      <c r="G405" s="7" t="inlineStr"/>
      <c r="H405" s="7" t="n"/>
      <c r="I405" s="7" t="inlineStr">
        <is>
          <t>Unknown</t>
        </is>
      </c>
      <c r="J405" s="7" t="inlineStr">
        <is>
          <t>Learn More</t>
        </is>
      </c>
      <c r="K405" s="8" t="inlineStr">
        <is>
          <t>🌱 ✨ L’app definitiva per le abitudini di tutti!</t>
        </is>
      </c>
      <c r="L405" s="8" t="inlineStr">
        <is>
          <t>🌱 ✨ L’app definitiva per le abitudini di tutti! GET.PERFECTDAY.AI Perfect Day: Organizza la tua giornata ⭐️⭐️⭐️⭐️⭐️</t>
        </is>
      </c>
      <c r="M405" s="7" t="inlineStr">
        <is>
          <t>https://www.facebook.com/ads/library/?id=1002468718407674</t>
        </is>
      </c>
    </row>
    <row r="406">
      <c r="A406" s="5" t="n">
        <v>385</v>
      </c>
      <c r="B406" s="5" t="inlineStr">
        <is>
          <t>Agrowon</t>
        </is>
      </c>
      <c r="C406" s="5" t="inlineStr">
        <is>
          <t>Other Advertiser (Event / Service / Direct-to-Consumer)</t>
        </is>
      </c>
      <c r="D406" s="5" t="inlineStr">
        <is>
          <t>The Pavillion Pune</t>
        </is>
      </c>
      <c r="E406" s="5" t="inlineStr">
        <is>
          <t>Pune</t>
        </is>
      </c>
      <c r="F406" s="5" t="inlineStr">
        <is>
          <t>off</t>
        </is>
      </c>
      <c r="G406" s="5" t="inlineStr"/>
      <c r="H406" s="5" t="n"/>
      <c r="I406" s="5" t="inlineStr">
        <is>
          <t>Unknown</t>
        </is>
      </c>
      <c r="J406" s="5" t="inlineStr">
        <is>
          <t>Learn More</t>
        </is>
      </c>
      <c r="K406" s="6" t="inlineStr"/>
      <c r="L406" s="6" t="inlineStr">
        <is>
          <t>• Published by Sakal Media Pvt Ltd Human Wildlife Conflict: नरभक्षी बिबट्यांचा बंदोबस्त करणार | Devendra Fadanvis   पुणे आणि अहमदनगर जिल्ह्यात बिबट्यांच्या वाढत्या दहशतीवर आणि हल्ल्यांमुळे झालेल्या मृत्यूनंतर, मुख्यमंत्री देवेंद्र फडणवीस यांनी केंद्र सरकारकडे महत्त्वपूर्ण मागण्या केल्याची माहिती दिली. मुख्यमंत्री देवेंद्र फडणवीस म्हणाले, 'एखादा बिबट हा नरभक्षी होतो त्यावेळी आवश्यकता असेल तर त्याला पुट डाऊन करण्याची पण परवानगी दिली जावी.' पुणे जिल्ह्यात सुमारे १३०० बिबटे असल्याचा अंदाज असून, वाढत</t>
        </is>
      </c>
      <c r="M406" s="5" t="inlineStr">
        <is>
          <t>https://www.facebook.com/ads/library/?id=797357429796639</t>
        </is>
      </c>
    </row>
    <row r="407">
      <c r="A407" s="7" t="n">
        <v>386</v>
      </c>
      <c r="B407" s="7" t="inlineStr">
        <is>
          <t>smilefoundation</t>
        </is>
      </c>
      <c r="C407" s="7" t="inlineStr">
        <is>
          <t>Other Advertiser (Event / Service / Direct-to-Consumer)</t>
        </is>
      </c>
      <c r="D407" s="7" t="inlineStr">
        <is>
          <t>The Pavillion Pune</t>
        </is>
      </c>
      <c r="E407" s="7" t="inlineStr">
        <is>
          <t>Pune</t>
        </is>
      </c>
      <c r="F407" s="7" t="inlineStr">
        <is>
          <t>LIVE</t>
        </is>
      </c>
      <c r="G407" s="7" t="inlineStr"/>
      <c r="H407" s="7" t="n"/>
      <c r="I407" s="7" t="inlineStr">
        <is>
          <t>Unknown</t>
        </is>
      </c>
      <c r="J407" s="7" t="inlineStr">
        <is>
          <t>Learn More</t>
        </is>
      </c>
      <c r="K407" s="8" t="inlineStr"/>
      <c r="L407" s="8" t="inlineStr">
        <is>
          <t>• Paid for by Smile Foundation A robust STEM education creates critical thinkers, problem solvers, and next-generation innovators!  Smile Foundation is pleased to partner with Atlas Copco India Private Ltd. to inculcate the scientific spirit and spark interest in science and technology among students in Pimpri-Chinchwad Municipal Corporation Schools in Pune.  We thank the team at Atlas Copco India Private Ltd., students at Symbiosis Institute of Technology, and Gnaan U Education for joining hand</t>
        </is>
      </c>
      <c r="M407" s="7" t="inlineStr">
        <is>
          <t>https://www.facebook.com/ads/library/?id=1463474847543700</t>
        </is>
      </c>
    </row>
    <row r="408">
      <c r="A408" s="5" t="n">
        <v>387</v>
      </c>
      <c r="B408" s="5" t="inlineStr">
        <is>
          <t>Perfect Day: Organize Your Day</t>
        </is>
      </c>
      <c r="C408" s="5" t="inlineStr">
        <is>
          <t>Other Advertiser (Event / Service / Direct-to-Consumer)</t>
        </is>
      </c>
      <c r="D408" s="5" t="inlineStr">
        <is>
          <t>The Pavillion Pune</t>
        </is>
      </c>
      <c r="E408" s="5" t="inlineStr">
        <is>
          <t>Pune</t>
        </is>
      </c>
      <c r="F408" s="5" t="inlineStr">
        <is>
          <t>LIVE</t>
        </is>
      </c>
      <c r="G408" s="5" t="inlineStr"/>
      <c r="H408" s="5" t="n"/>
      <c r="I408" s="5" t="inlineStr">
        <is>
          <t>Unknown</t>
        </is>
      </c>
      <c r="J408" s="5" t="inlineStr">
        <is>
          <t>Learn More</t>
        </is>
      </c>
      <c r="K408" s="6" t="inlineStr">
        <is>
          <t>🌱 ✨ Nejlepší aplikace pro návyky pro každého!</t>
        </is>
      </c>
      <c r="L408" s="6" t="inlineStr">
        <is>
          <t>🌱 ✨ Nejlepší aplikace pro návyky pro každého! GET2.PERFECTDAY.AI Perfect Day: Zorganizuj si svůj den ⭐️⭐️⭐️⭐️⭐️</t>
        </is>
      </c>
      <c r="M408" s="5" t="inlineStr">
        <is>
          <t>https://www.facebook.com/ads/library/?id=911926341658626</t>
        </is>
      </c>
    </row>
    <row r="409">
      <c r="A409" s="7" t="n">
        <v>388</v>
      </c>
      <c r="B409" s="7" t="inlineStr">
        <is>
          <t>MIT School of Government</t>
        </is>
      </c>
      <c r="C409" s="7" t="inlineStr">
        <is>
          <t>Other Advertiser (Event / Service / Direct-to-Consumer)</t>
        </is>
      </c>
      <c r="D409" s="7" t="inlineStr">
        <is>
          <t>The Pavillion Pune</t>
        </is>
      </c>
      <c r="E409" s="7" t="inlineStr">
        <is>
          <t>Pune</t>
        </is>
      </c>
      <c r="F409" s="7" t="inlineStr">
        <is>
          <t>LIVE</t>
        </is>
      </c>
      <c r="G409" s="7" t="inlineStr"/>
      <c r="H409" s="7" t="n"/>
      <c r="I409" s="7" t="inlineStr">
        <is>
          <t>Unknown</t>
        </is>
      </c>
      <c r="J409" s="7" t="inlineStr">
        <is>
          <t>Learn More</t>
        </is>
      </c>
      <c r="K409" s="8" t="inlineStr"/>
      <c r="L409" s="8" t="inlineStr">
        <is>
          <t>• Paid for by Shivsharan Singh Bhadoria MIT School of Government is organizing two national level essay competitions on the occasion of International Women’s Day of 2022. All undergraduate girls can participate in this competition.  Check out the details and contact number &amp; email id for submission. MITSOG.ORG Celebrating International Women's Day MIT School of Government is one of its own kind of Institute into political courses &amp; political master degree. Today roles of youth become very import</t>
        </is>
      </c>
      <c r="M409" s="7" t="inlineStr">
        <is>
          <t>https://www.facebook.com/ads/library/?id=1109946823175388</t>
        </is>
      </c>
    </row>
    <row r="410">
      <c r="A410" s="5" t="n">
        <v>389</v>
      </c>
      <c r="B410" s="5" t="inlineStr">
        <is>
          <t>Trident Tata</t>
        </is>
      </c>
      <c r="C410" s="5" t="inlineStr">
        <is>
          <t>Other Advertiser (Event / Service / Direct-to-Consumer)</t>
        </is>
      </c>
      <c r="D410" s="5" t="inlineStr">
        <is>
          <t>The Pavillion Pune</t>
        </is>
      </c>
      <c r="E410" s="5" t="inlineStr">
        <is>
          <t>Pune</t>
        </is>
      </c>
      <c r="F410" s="5" t="inlineStr">
        <is>
          <t>LIVE</t>
        </is>
      </c>
      <c r="G410" s="5" t="inlineStr"/>
      <c r="H410" s="5" t="n"/>
      <c r="I410" s="5" t="inlineStr">
        <is>
          <t>Unknown</t>
        </is>
      </c>
      <c r="J410" s="5" t="inlineStr">
        <is>
          <t>Learn More</t>
        </is>
      </c>
      <c r="K410" s="6" t="inlineStr">
        <is>
          <t>Call 86577 50760 for a Test Drive now 0:00 / 0:00 ​ Active</t>
        </is>
      </c>
      <c r="L410" s="6" t="inlineStr">
        <is>
          <t>Call 86577 50760 for a Test Drive now 0:00 / 0:00 ​ Active</t>
        </is>
      </c>
      <c r="M410" s="5" t="inlineStr">
        <is>
          <t>https://www.facebook.com/ads/library/?id=1530873051628282</t>
        </is>
      </c>
    </row>
    <row r="411">
      <c r="A411" s="7" t="n">
        <v>390</v>
      </c>
      <c r="B411" s="7" t="inlineStr">
        <is>
          <t>Lamy India</t>
        </is>
      </c>
      <c r="C411" s="7" t="inlineStr">
        <is>
          <t>Other Advertiser (Event / Service / Direct-to-Consumer)</t>
        </is>
      </c>
      <c r="D411" s="7" t="inlineStr">
        <is>
          <t>Seasons Mall Pune</t>
        </is>
      </c>
      <c r="E411" s="7" t="inlineStr">
        <is>
          <t>Pune</t>
        </is>
      </c>
      <c r="F411" s="7" t="inlineStr">
        <is>
          <t>LIVE</t>
        </is>
      </c>
      <c r="G411" s="7" t="inlineStr"/>
      <c r="H411" s="7" t="n"/>
      <c r="I411" s="7" t="inlineStr">
        <is>
          <t>Unknown</t>
        </is>
      </c>
      <c r="J411" s="7" t="inlineStr">
        <is>
          <t>Learn More</t>
        </is>
      </c>
      <c r="K411" s="8" t="inlineStr">
        <is>
          <t>This content was removed because it didn't follow our Advertising Standards.</t>
        </is>
      </c>
      <c r="L411" s="8" t="inlineStr">
        <is>
          <t>This content was removed because it didn't follow our Advertising Standards. ​ Active</t>
        </is>
      </c>
      <c r="M411" s="7" t="inlineStr">
        <is>
          <t>https://www.facebook.com/ads/library/?id=564132867465168</t>
        </is>
      </c>
    </row>
    <row r="412">
      <c r="A412" s="5" t="n">
        <v>391</v>
      </c>
      <c r="B412" s="5" t="inlineStr">
        <is>
          <t>Lamy India</t>
        </is>
      </c>
      <c r="C412" s="5" t="inlineStr">
        <is>
          <t>Other Advertiser (Event / Service / Direct-to-Consumer)</t>
        </is>
      </c>
      <c r="D412" s="5" t="inlineStr">
        <is>
          <t>Seasons Mall Pune</t>
        </is>
      </c>
      <c r="E412" s="5" t="inlineStr">
        <is>
          <t>Pune</t>
        </is>
      </c>
      <c r="F412" s="5" t="inlineStr">
        <is>
          <t>LIVE</t>
        </is>
      </c>
      <c r="G412" s="5" t="inlineStr"/>
      <c r="H412" s="5" t="n"/>
      <c r="I412" s="5" t="inlineStr">
        <is>
          <t>Unknown</t>
        </is>
      </c>
      <c r="J412" s="5" t="inlineStr">
        <is>
          <t>Learn More</t>
        </is>
      </c>
      <c r="K412" s="6" t="inlineStr">
        <is>
          <t>This content was removed because it didn't follow our Advertising Standards.</t>
        </is>
      </c>
      <c r="L412" s="6" t="inlineStr">
        <is>
          <t>This content was removed because it didn't follow our Advertising Standards. ​ Active</t>
        </is>
      </c>
      <c r="M412" s="5" t="inlineStr">
        <is>
          <t>https://www.facebook.com/ads/library/?id=551057698790378</t>
        </is>
      </c>
    </row>
    <row r="413">
      <c r="A413" s="7" t="n">
        <v>392</v>
      </c>
      <c r="B413" s="7" t="inlineStr">
        <is>
          <t>LuLu Mall Hyderabad</t>
        </is>
      </c>
      <c r="C413" s="7" t="inlineStr">
        <is>
          <t>Mall / Landlord (Direct Competitor)</t>
        </is>
      </c>
      <c r="D413" s="7" t="inlineStr">
        <is>
          <t>Lulu Mall Hyderabad</t>
        </is>
      </c>
      <c r="E413" s="7" t="inlineStr">
        <is>
          <t>Hyderabad</t>
        </is>
      </c>
      <c r="F413" s="7" t="inlineStr">
        <is>
          <t>LIVE</t>
        </is>
      </c>
      <c r="G413" s="7" t="inlineStr"/>
      <c r="H413" s="7" t="n"/>
      <c r="I413" s="7" t="inlineStr">
        <is>
          <t>Unknown</t>
        </is>
      </c>
      <c r="J413" s="7" t="inlineStr">
        <is>
          <t>Learn More</t>
        </is>
      </c>
      <c r="K413" s="8" t="inlineStr">
        <is>
          <t>Weekends are better when they come with Fashion, Food &amp; Fun ❤️✨  Discover exciting offers, indulge in your favourite fla</t>
        </is>
      </c>
      <c r="L413" s="8" t="inlineStr">
        <is>
          <t>Weekends are better when they come with Fashion, Food &amp; Fun ❤️✨  Discover exciting offers, indulge in your favourite flavours and make unforgettable memories with LuLu FFF at LuLu Mall Hyderabad 😍💥  Because the best plans happen under one roof 🌸✨  #LuLuFFF #FashionFoodFun #LuLuMallHyderabad #WeekendVibes #ShopDineEnjoy INSTAGRAM.COM Visit Instagram Profile   INSTAGRAM.COM Visit Instagram Profile   INSTAGRAM.COM Visit Instagram Profile   INSTAGRAM.COM Visit Instagram Profile   INSTAGRAM.COM Vi</t>
        </is>
      </c>
      <c r="M413" s="7" t="inlineStr">
        <is>
          <t>https://www.facebook.com/ads/library/?id=1908423013129616</t>
        </is>
      </c>
    </row>
    <row r="414">
      <c r="A414" s="5" t="n">
        <v>393</v>
      </c>
      <c r="B414" s="5" t="inlineStr">
        <is>
          <t>New Godrej's Properties</t>
        </is>
      </c>
      <c r="C414" s="5" t="inlineStr">
        <is>
          <t>Real Estate Developer (Location-Piggyback)</t>
        </is>
      </c>
      <c r="D414" s="5" t="inlineStr">
        <is>
          <t>Lulu Mall Hyderabad</t>
        </is>
      </c>
      <c r="E414" s="5" t="inlineStr">
        <is>
          <t>Hyderabad</t>
        </is>
      </c>
      <c r="F414" s="5" t="inlineStr">
        <is>
          <t>LIVE</t>
        </is>
      </c>
      <c r="G414" s="5" t="inlineStr"/>
      <c r="H414" s="5" t="n"/>
      <c r="I414" s="5" t="inlineStr">
        <is>
          <t>Unknown</t>
        </is>
      </c>
      <c r="J414" s="5" t="inlineStr">
        <is>
          <t>Learn More</t>
        </is>
      </c>
      <c r="K414" s="6" t="inlineStr">
        <is>
          <t>🏙️ Experience Brooklyn-Inspired Luxury at Godrej Kukatpally  Introducing premium high-rise residences in the heart of Ku</t>
        </is>
      </c>
      <c r="L414" s="6" t="inlineStr">
        <is>
          <t>🏙️ Experience Brooklyn-Inspired Luxury at Godrej Kukatpally  Introducing premium high-rise residences in the heart of Kukatpally with iconic architecture, expansive green spaces, and unmatched connectivity to Hyderabad’s top IT &amp; lifestyle hubs.  ✨ Project Highlights: ✔️ 7.8 Acres Premium Development ✔️ 2 Iconic Towers | G + 46 Floors ✔️ 75% Open Green Spaces ✔️ 72,000 Sq.Ft Grand Clubhouse ✔️ Elegant Brooklyn-Themed Design  🏡 Luxury Configurations: • 3BHK Premium from ₹2.10 Cr* • 3BHK Luxe fr</t>
        </is>
      </c>
      <c r="M414" s="5" t="inlineStr">
        <is>
          <t>https://www.facebook.com/ads/library/?id=953886740889733</t>
        </is>
      </c>
    </row>
    <row r="415">
      <c r="A415" s="7" t="n">
        <v>394</v>
      </c>
      <c r="B415" s="7" t="inlineStr">
        <is>
          <t>Frontier Raas</t>
        </is>
      </c>
      <c r="C415" s="7" t="inlineStr">
        <is>
          <t>Other Advertiser (Event / Service / Direct-to-Consumer)</t>
        </is>
      </c>
      <c r="D415" s="7" t="inlineStr">
        <is>
          <t>Lulu Mall Hyderabad</t>
        </is>
      </c>
      <c r="E415" s="7" t="inlineStr">
        <is>
          <t>Hyderabad</t>
        </is>
      </c>
      <c r="F415" s="7" t="inlineStr">
        <is>
          <t>LIVE</t>
        </is>
      </c>
      <c r="G415" s="7" t="inlineStr"/>
      <c r="H415" s="7" t="n"/>
      <c r="I415" s="7" t="inlineStr">
        <is>
          <t>Unknown</t>
        </is>
      </c>
      <c r="J415" s="7" t="inlineStr">
        <is>
          <t>Learn More</t>
        </is>
      </c>
      <c r="K415" s="8" t="inlineStr">
        <is>
          <t>The charm is in the detail: a blouse with a modern neckline, and tassels that lend just the right touch of playfulness.</t>
        </is>
      </c>
      <c r="L415" s="8" t="inlineStr">
        <is>
          <t>The charm is in the detail: a blouse with a modern neckline, and tassels that lend just the right touch of playfulness. Blush pink, but with a sparkle made for the spotlight.  Explore now in stores and online ⚜️  @vanshvirmani @juhitaneja @augustine.production @manoharlaljewellers   South Ex | Pitampura | DLF Mall Of India, Noida | Ambience Mall, Vasant Kunj | Karol Bagh | Lulu Mall, Lucknow | Hyderabad | Chandigarh | London | Birmingham | Dubai  [Frontier Raas, Taraasa, New Collection]  #Fronti</t>
        </is>
      </c>
      <c r="M415" s="7" t="inlineStr">
        <is>
          <t>https://www.facebook.com/ads/library/?id=1607805773961152</t>
        </is>
      </c>
    </row>
    <row r="416">
      <c r="A416" s="5" t="n">
        <v>395</v>
      </c>
      <c r="B416" s="5" t="inlineStr">
        <is>
          <t>Instagram User 7641531952</t>
        </is>
      </c>
      <c r="C416" s="5" t="inlineStr">
        <is>
          <t>Other Advertiser (Event / Service / Direct-to-Consumer)</t>
        </is>
      </c>
      <c r="D416" s="5" t="inlineStr">
        <is>
          <t>Lulu Mall Hyderabad</t>
        </is>
      </c>
      <c r="E416" s="5" t="inlineStr">
        <is>
          <t>Hyderabad</t>
        </is>
      </c>
      <c r="F416" s="5" t="inlineStr">
        <is>
          <t>LIVE</t>
        </is>
      </c>
      <c r="G416" s="5" t="inlineStr"/>
      <c r="H416" s="5" t="n"/>
      <c r="I416" s="5" t="inlineStr">
        <is>
          <t>Unknown</t>
        </is>
      </c>
      <c r="J416" s="5" t="inlineStr">
        <is>
          <t>Learn More</t>
        </is>
      </c>
      <c r="K416" s="6" t="inlineStr">
        <is>
          <t>This ad ran without a required disclaimer.</t>
        </is>
      </c>
      <c r="L416" s="6" t="inlineStr">
        <is>
          <t>This ad ran without a required disclaimer. ​ Active</t>
        </is>
      </c>
      <c r="M416" s="5" t="inlineStr">
        <is>
          <t>https://www.facebook.com/ads/library/?id=1223021743052325</t>
        </is>
      </c>
    </row>
    <row r="417">
      <c r="A417" s="7" t="n">
        <v>396</v>
      </c>
      <c r="B417" s="7" t="inlineStr">
        <is>
          <t>Sribharat Mathukumilli</t>
        </is>
      </c>
      <c r="C417" s="7" t="inlineStr">
        <is>
          <t>Other Advertiser (Event / Service / Direct-to-Consumer)</t>
        </is>
      </c>
      <c r="D417" s="7" t="inlineStr">
        <is>
          <t>Lulu Mall Hyderabad</t>
        </is>
      </c>
      <c r="E417" s="7" t="inlineStr">
        <is>
          <t>Hyderabad</t>
        </is>
      </c>
      <c r="F417" s="7" t="inlineStr">
        <is>
          <t>off</t>
        </is>
      </c>
      <c r="G417" s="7" t="inlineStr"/>
      <c r="H417" s="7" t="n"/>
      <c r="I417" s="7" t="inlineStr">
        <is>
          <t>Unknown</t>
        </is>
      </c>
      <c r="J417" s="7" t="inlineStr">
        <is>
          <t>Learn More</t>
        </is>
      </c>
      <c r="K417" s="8" t="inlineStr"/>
      <c r="L417" s="8" t="inlineStr">
        <is>
          <t>• Published by Politics for Impact This content was removed because it didn't follow our Advertising Standards. ​ Inactive</t>
        </is>
      </c>
      <c r="M417" s="7" t="inlineStr">
        <is>
          <t>https://www.facebook.com/ads/library/?id=305956425928966</t>
        </is>
      </c>
    </row>
    <row r="418">
      <c r="A418" s="5" t="n">
        <v>397</v>
      </c>
      <c r="B418" s="5" t="inlineStr">
        <is>
          <t>LuLu Mall Hyderabad with LuLu Hypermarket Hyderabad</t>
        </is>
      </c>
      <c r="C418" s="5" t="inlineStr">
        <is>
          <t>Mall / Landlord (Direct Competitor)</t>
        </is>
      </c>
      <c r="D418" s="5" t="inlineStr">
        <is>
          <t>Lulu Mall Hyderabad</t>
        </is>
      </c>
      <c r="E418" s="5" t="inlineStr">
        <is>
          <t>Hyderabad</t>
        </is>
      </c>
      <c r="F418" s="5" t="inlineStr">
        <is>
          <t>LIVE</t>
        </is>
      </c>
      <c r="G418" s="5" t="inlineStr"/>
      <c r="H418" s="5" t="n"/>
      <c r="I418" s="5" t="inlineStr">
        <is>
          <t>Unknown</t>
        </is>
      </c>
      <c r="J418" s="5" t="inlineStr">
        <is>
          <t>Learn More</t>
        </is>
      </c>
      <c r="K418" s="6" t="inlineStr">
        <is>
          <t>This ad ran without a required disclaimer.</t>
        </is>
      </c>
      <c r="L418" s="6" t="inlineStr">
        <is>
          <t>This ad ran without a required disclaimer. ​ Active</t>
        </is>
      </c>
      <c r="M418" s="5" t="inlineStr">
        <is>
          <t>https://www.facebook.com/ads/library/?id=2545495389171586</t>
        </is>
      </c>
    </row>
    <row r="419">
      <c r="A419" s="7" t="n">
        <v>398</v>
      </c>
      <c r="B419" s="7" t="inlineStr">
        <is>
          <t>Sudhakar Gande</t>
        </is>
      </c>
      <c r="C419" s="7" t="inlineStr">
        <is>
          <t>Other Advertiser (Event / Service / Direct-to-Consumer)</t>
        </is>
      </c>
      <c r="D419" s="7" t="inlineStr">
        <is>
          <t>Lulu Mall Hyderabad</t>
        </is>
      </c>
      <c r="E419" s="7" t="inlineStr">
        <is>
          <t>Hyderabad</t>
        </is>
      </c>
      <c r="F419" s="7" t="inlineStr">
        <is>
          <t>off</t>
        </is>
      </c>
      <c r="G419" s="7" t="inlineStr"/>
      <c r="H419" s="7" t="n"/>
      <c r="I419" s="7" t="inlineStr">
        <is>
          <t>Unknown</t>
        </is>
      </c>
      <c r="J419" s="7" t="inlineStr">
        <is>
          <t>Learn More</t>
        </is>
      </c>
      <c r="K419" s="8" t="inlineStr"/>
      <c r="L419" s="8" t="inlineStr">
        <is>
          <t>• Paid for by Vidhaata Consulting నిజాం పాలనలో తెలంగాణలో ప్రజలపై ముఖ్యంగా మహిళల పై జరిగిన అరాచకాలను నేటి సమాజానికి తెలియచేయడానికి తీసిన "రాజాకార్" చిత్రాన్ని అందరూ చూసి నిజాలు తెలుసుకోవాలని ఉచిత ప్రదర్శన చేస్తున్నాము   రేపు సాయంత్రం జరిగే ప్రదర్శనకు మల్కాజ్గిరి పార్లమెంటు బీజేపీ అభ్యర్థి ఈటల రాజేందర్ గారు ముఖ్య అతిధిగా విచ్చేస్తున్నారు.  #SudhakarGandeBJP #malkajgiriparliament #Razakar #freeshow #Cinepolis LuLu Mall Hyderabad #TelanganaHistory #Nizamrule #nizamera #Aurngazeb #womenfreedom #histo</t>
        </is>
      </c>
      <c r="M419" s="7" t="inlineStr">
        <is>
          <t>https://www.facebook.com/ads/library/?id=1351364868886651</t>
        </is>
      </c>
    </row>
    <row r="420">
      <c r="A420" s="5" t="n">
        <v>399</v>
      </c>
      <c r="B420" s="5" t="inlineStr">
        <is>
          <t>Sudhakar Gande</t>
        </is>
      </c>
      <c r="C420" s="5" t="inlineStr">
        <is>
          <t>Other Advertiser (Event / Service / Direct-to-Consumer)</t>
        </is>
      </c>
      <c r="D420" s="5" t="inlineStr">
        <is>
          <t>Lulu Mall Hyderabad</t>
        </is>
      </c>
      <c r="E420" s="5" t="inlineStr">
        <is>
          <t>Hyderabad</t>
        </is>
      </c>
      <c r="F420" s="5" t="inlineStr">
        <is>
          <t>LIVE</t>
        </is>
      </c>
      <c r="G420" s="5" t="inlineStr"/>
      <c r="H420" s="5" t="n"/>
      <c r="I420" s="5" t="inlineStr">
        <is>
          <t>Unknown</t>
        </is>
      </c>
      <c r="J420" s="5" t="inlineStr">
        <is>
          <t>Learn More</t>
        </is>
      </c>
      <c r="K420" s="6" t="inlineStr"/>
      <c r="L420" s="6" t="inlineStr">
        <is>
          <t>• Paid for by Vidhaata Consulting నిజాం పాలనలో తెలంగాణలో ప్రజలపై  ముఖ్యంగా మహిళల పై జరిగిన అరాచకాలను నేటి సమాజానికి తెలియచేయడానికి తీసిన "రజాకార్" చిత్రాన్ని అందరూ చూసి నిజాలు తెలుసుకోవాలని ఉచిత ప్రదర్శన చేస్తున్నాము   రేపు సాయంత్రం జరిగే ప్రదర్శనకు మల్కాజ్గిరి పార్లమెంటు బీజేపీ అభ్యర్థి ఈటల రాజేందర్ గారు ముఖ్య అతిధిగా విచ్చేస్తున్నారు.   #SudhakarGandeBJP #malkajgiriparliament #Razakar #freeshow #Cinepolis LuLu Mall Hyderabad  Bharatiya Janata Party (BJP) BJP Telangana Narendra Modi J.P.Nadda A</t>
        </is>
      </c>
      <c r="M420" s="5" t="inlineStr">
        <is>
          <t>https://www.facebook.com/ads/library/?id=3825266984463365</t>
        </is>
      </c>
    </row>
    <row r="421">
      <c r="A421" s="7" t="n">
        <v>400</v>
      </c>
      <c r="B421" s="7" t="inlineStr">
        <is>
          <t>Sudhakar Gande</t>
        </is>
      </c>
      <c r="C421" s="7" t="inlineStr">
        <is>
          <t>Other Advertiser (Event / Service / Direct-to-Consumer)</t>
        </is>
      </c>
      <c r="D421" s="7" t="inlineStr">
        <is>
          <t>Lulu Mall Hyderabad</t>
        </is>
      </c>
      <c r="E421" s="7" t="inlineStr">
        <is>
          <t>Hyderabad</t>
        </is>
      </c>
      <c r="F421" s="7" t="inlineStr">
        <is>
          <t>LIVE</t>
        </is>
      </c>
      <c r="G421" s="7" t="inlineStr"/>
      <c r="H421" s="7" t="n"/>
      <c r="I421" s="7" t="inlineStr">
        <is>
          <t>Unknown</t>
        </is>
      </c>
      <c r="J421" s="7" t="inlineStr">
        <is>
          <t>Learn More</t>
        </is>
      </c>
      <c r="K421" s="8" t="inlineStr"/>
      <c r="L421" s="8" t="inlineStr">
        <is>
          <t>• Paid for by Vidhaata Consulting నిజాం పాలనలో తెలంగాణలో ప్రజలపై ముఖ్యంగా మహిళల పై జరిగిన అరాచకాలను నేటి సమాజానికి తెలియచేయడానికి తీసిన "రాజాకార్" చిత్రాన్ని అందరూ చూసి నిజాలు తెలుసుకోవాలని ఉచిత ప్రదర్శన చేస్తున్నాము   రేపు సాయంత్రం జరిగే ప్రదర్శనకు మల్కాజ్గిరి పార్లమెంటు బీజేపీ అభ్యర్థి ఈటల రాజేందర్ గారు ముఖ్య అతిధిగా విచ్చేస్తున్నారు.  #SudhakarGandeBJP #malkajgiriparliament #Razakar #freeshow #Cinepolis LuLu Mall Hyderabad #TelanganaHistory #Nizamrule #nizamera #Aurngazeb #womenfreedom #histo</t>
        </is>
      </c>
      <c r="M421" s="7" t="inlineStr">
        <is>
          <t>https://www.facebook.com/ads/library/?id=293603420427482</t>
        </is>
      </c>
    </row>
    <row r="422">
      <c r="A422" s="5" t="n">
        <v>401</v>
      </c>
      <c r="B422" s="5" t="inlineStr">
        <is>
          <t>BJP Keralam</t>
        </is>
      </c>
      <c r="C422" s="5" t="inlineStr">
        <is>
          <t>Other Advertiser (Event / Service / Direct-to-Consumer)</t>
        </is>
      </c>
      <c r="D422" s="5" t="inlineStr">
        <is>
          <t>Nexus Hyderabad Mall</t>
        </is>
      </c>
      <c r="E422" s="5" t="inlineStr">
        <is>
          <t>Hyderabad</t>
        </is>
      </c>
      <c r="F422" s="5" t="inlineStr">
        <is>
          <t>off</t>
        </is>
      </c>
      <c r="G422" s="5" t="inlineStr"/>
      <c r="H422" s="5" t="n"/>
      <c r="I422" s="5" t="inlineStr">
        <is>
          <t>Unknown</t>
        </is>
      </c>
      <c r="J422" s="5" t="inlineStr">
        <is>
          <t>Learn More</t>
        </is>
      </c>
      <c r="K422" s="6" t="inlineStr"/>
      <c r="L422" s="6" t="inlineStr">
        <is>
          <t>• Published by BJP Keralam Sabarimala’s sacred gold has been stolen in broad daylight, exposing a shocking and unholy nexus between the @cpimspeak and @INCIndia.   While millions of humble devotees offer their life savings at the feet of Lord Ayyappa, political thugs have been busy filling their own pockets, mocking the very faith and devotion that binds our community together.‌  It is time for every malayali to wake up and protect our ancient traditions from those who have turned our house of p</t>
        </is>
      </c>
      <c r="M422" s="5" t="inlineStr">
        <is>
          <t>https://www.facebook.com/ads/library/?id=1630179881234319</t>
        </is>
      </c>
    </row>
    <row r="423">
      <c r="A423" s="7" t="n">
        <v>402</v>
      </c>
      <c r="B423" s="7" t="inlineStr">
        <is>
          <t>BJP Keralam</t>
        </is>
      </c>
      <c r="C423" s="7" t="inlineStr">
        <is>
          <t>Other Advertiser (Event / Service / Direct-to-Consumer)</t>
        </is>
      </c>
      <c r="D423" s="7" t="inlineStr">
        <is>
          <t>Nexus Hyderabad Mall</t>
        </is>
      </c>
      <c r="E423" s="7" t="inlineStr">
        <is>
          <t>Hyderabad</t>
        </is>
      </c>
      <c r="F423" s="7" t="inlineStr">
        <is>
          <t>LIVE</t>
        </is>
      </c>
      <c r="G423" s="7" t="inlineStr"/>
      <c r="H423" s="7" t="n"/>
      <c r="I423" s="7" t="inlineStr">
        <is>
          <t>Unknown</t>
        </is>
      </c>
      <c r="J423" s="7" t="inlineStr">
        <is>
          <t>Learn More</t>
        </is>
      </c>
      <c r="K423" s="8" t="inlineStr"/>
      <c r="L423" s="8" t="inlineStr">
        <is>
          <t>• Published by BJP Keralam Sabarimala’s sacred gold has been stolen in broad daylight, exposing a shocking and unholy nexus between the @cpimspeak and @INCIndia.   While millions of humble devotees offer their life savings at the feet of Lord Ayyappa, political thugs have been busy filling their own pockets, mocking the very faith and devotion that binds our community together.‌  It is time for every malayali to wake up and protect our ancient traditions from those who have turned our house of p</t>
        </is>
      </c>
      <c r="M423" s="7" t="inlineStr">
        <is>
          <t>https://www.facebook.com/ads/library/?id=1251343110501822</t>
        </is>
      </c>
    </row>
    <row r="424">
      <c r="A424" s="5" t="n">
        <v>403</v>
      </c>
      <c r="B424" s="5" t="inlineStr">
        <is>
          <t>Origem India</t>
        </is>
      </c>
      <c r="C424" s="5" t="inlineStr">
        <is>
          <t>Other Advertiser (Event / Service / Direct-to-Consumer)</t>
        </is>
      </c>
      <c r="D424" s="5" t="inlineStr">
        <is>
          <t>Nexus Hyderabad Mall</t>
        </is>
      </c>
      <c r="E424" s="5" t="inlineStr">
        <is>
          <t>Hyderabad</t>
        </is>
      </c>
      <c r="F424" s="5" t="inlineStr">
        <is>
          <t>LIVE</t>
        </is>
      </c>
      <c r="G424" s="5" t="inlineStr"/>
      <c r="H424" s="5" t="n"/>
      <c r="I424" s="5" t="inlineStr">
        <is>
          <t>Unknown</t>
        </is>
      </c>
      <c r="J424" s="5" t="inlineStr">
        <is>
          <t>Learn More</t>
        </is>
      </c>
      <c r="K424" s="6" t="inlineStr">
        <is>
          <t>FLAT 100% OFF on Making Charges* The jewellery you've been waiting for is now available without making charges.</t>
        </is>
      </c>
      <c r="L424" s="6" t="inlineStr">
        <is>
          <t>FLAT 100% OFF on Making Charges* The jewellery you've been waiting for is now available without making charges. Explore ORIGEM's collection of Lab grown diamond jewellery and take home your favourites for less. Limited-time offer. Visit your nearest ORIGEM store today. *T&amp;C Apply.  📍ORIGEM Hyderabad Stores: Nexus Mall Kukatpally | Himayathnagar Sama Towers   📍Also at :   MUMBAI | BANGALORE | CHANDIGARH | DELHI | KOLKATA | CHENNAI | NOIDA | PUNE | JODHPUR  | FARIDABAD | GURGAON | UDAIPUR Visit</t>
        </is>
      </c>
      <c r="M424" s="5" t="inlineStr">
        <is>
          <t>https://www.facebook.com/ads/library/?id=1552904436350342</t>
        </is>
      </c>
    </row>
    <row r="425">
      <c r="A425" s="7" t="n">
        <v>404</v>
      </c>
      <c r="B425" s="7" t="inlineStr">
        <is>
          <t>LINQS Cosmetology Clinic</t>
        </is>
      </c>
      <c r="C425" s="7" t="inlineStr">
        <is>
          <t>Other Advertiser (Event / Service / Direct-to-Consumer)</t>
        </is>
      </c>
      <c r="D425" s="7" t="inlineStr">
        <is>
          <t>Nexus Hyderabad Mall</t>
        </is>
      </c>
      <c r="E425" s="7" t="inlineStr">
        <is>
          <t>Hyderabad</t>
        </is>
      </c>
      <c r="F425" s="7" t="inlineStr">
        <is>
          <t>off</t>
        </is>
      </c>
      <c r="G425" s="7" t="inlineStr"/>
      <c r="H425" s="7" t="n"/>
      <c r="I425" s="7" t="inlineStr">
        <is>
          <t>Unknown</t>
        </is>
      </c>
      <c r="J425" s="7" t="inlineStr">
        <is>
          <t>Learn More</t>
        </is>
      </c>
      <c r="K425" s="8" t="inlineStr">
        <is>
          <t>Unlock your skin’s true radiance at Linqs Clinics, Kukatpally!</t>
        </is>
      </c>
      <c r="L425" s="8" t="inlineStr">
        <is>
          <t>Unlock your skin’s true radiance at Linqs Clinics, Kukatpally! Indulge in a powerful combination of Hydra Facial, Carbon Laser &amp; Collagen Boost Therapy designed to deeply cleanse, brighten, and rejuvenate your skin.  All 3 advanced treatments together at an exclusive price of ₹2999/- only. Step in today and walk out glowing with confidence!  📍 Opp. Nexus Mall, Kukatpally, Hyderabad 📞 +91 8499 050607  #Skincare #Beauty #GlowSkin #FacialTreatment #HydraFacial #CarbonLaser #CollagenBoost #SkinCar</t>
        </is>
      </c>
      <c r="M425" s="7" t="inlineStr">
        <is>
          <t>https://www.facebook.com/ads/library/?id=1373975810898701</t>
        </is>
      </c>
    </row>
    <row r="426">
      <c r="A426" s="5" t="n">
        <v>405</v>
      </c>
      <c r="B426" s="5" t="inlineStr">
        <is>
          <t>Lost Votes</t>
        </is>
      </c>
      <c r="C426" s="5" t="inlineStr">
        <is>
          <t>Other Advertiser (Event / Service / Direct-to-Consumer)</t>
        </is>
      </c>
      <c r="D426" s="5" t="inlineStr">
        <is>
          <t>Nexus Hyderabad Mall</t>
        </is>
      </c>
      <c r="E426" s="5" t="inlineStr">
        <is>
          <t>Hyderabad</t>
        </is>
      </c>
      <c r="F426" s="5" t="inlineStr">
        <is>
          <t>LIVE</t>
        </is>
      </c>
      <c r="G426" s="5" t="inlineStr"/>
      <c r="H426" s="5" t="n"/>
      <c r="I426" s="5" t="inlineStr">
        <is>
          <t>Unknown</t>
        </is>
      </c>
      <c r="J426" s="5" t="inlineStr">
        <is>
          <t>Learn More</t>
        </is>
      </c>
      <c r="K426" s="6" t="inlineStr"/>
      <c r="L426" s="6" t="inlineStr">
        <is>
          <t>• Paid for by Abhishek Pratap Singh In the second episode of our webinar series we bring MV Karan from Github to talk about how open source and collaboration can help you find an effective solution to the #LostVotes problem and come together to develop the future of India's democracy.  Participate to learn about: • Using collaboration features like code review &amp; project management • Automating software from code to cloud • Securing software through vulnerability analysis • Development on the clo</t>
        </is>
      </c>
      <c r="M426" s="5" t="inlineStr">
        <is>
          <t>https://www.facebook.com/ads/library/?id=1079023739207023</t>
        </is>
      </c>
    </row>
    <row r="427">
      <c r="A427" s="7" t="n">
        <v>406</v>
      </c>
      <c r="B427" s="7" t="inlineStr">
        <is>
          <t>APAC News Network</t>
        </is>
      </c>
      <c r="C427" s="7" t="inlineStr">
        <is>
          <t>Other Advertiser (Event / Service / Direct-to-Consumer)</t>
        </is>
      </c>
      <c r="D427" s="7" t="inlineStr">
        <is>
          <t>Nexus Hyderabad Mall</t>
        </is>
      </c>
      <c r="E427" s="7" t="inlineStr">
        <is>
          <t>Hyderabad</t>
        </is>
      </c>
      <c r="F427" s="7" t="inlineStr">
        <is>
          <t>LIVE</t>
        </is>
      </c>
      <c r="G427" s="7" t="inlineStr"/>
      <c r="H427" s="7" t="n"/>
      <c r="I427" s="7" t="inlineStr">
        <is>
          <t>Unknown</t>
        </is>
      </c>
      <c r="J427" s="7" t="inlineStr">
        <is>
          <t>Learn More</t>
        </is>
      </c>
      <c r="K427" s="8" t="inlineStr"/>
      <c r="L427" s="8" t="inlineStr">
        <is>
          <t>• Published by APAC News Network 𝟓𝐭𝐡 𝐄𝐝𝐢𝐭𝐢𝐨𝐧: 𝐈𝐠𝐧𝐢𝐭𝐢𝐧𝐠 𝐘𝐨𝐮𝐧𝐠 𝐌𝐢𝐧𝐝𝐬, 𝐑𝐞𝐣𝐮𝐯𝐞𝐧𝐚𝐭𝐢𝐧𝐠 𝐑𝐢𝐯𝐞𝐫𝐬  𝐍𝐚𝐭𝐢𝐨𝐧𝐚𝐥 𝐌𝐢𝐬𝐬𝐢𝐨𝐧 𝐟𝐨𝐫 𝐂𝐥𝐞𝐚𝐧 𝐆𝐚𝐧𝐠𝐚, 𝐌𝐢𝐧𝐢𝐬𝐭𝐫𝐲 𝐨𝐟 𝐉𝐚𝐥 𝐒𝐡𝐚𝐤𝐭𝐢,  𝐃𝐞𝐩𝐚𝐫𝐭𝐦𝐞𝐧𝐭 𝐨𝐟 𝐖𝐚𝐭𝐞𝐫 𝐑𝐞𝐬𝐨𝐮𝐫𝐜𝐞𝐬, 𝐑𝐃 &amp; 𝐆𝐑, 𝐆𝐨𝐯𝐞𝐫𝐧𝐦𝐞𝐧𝐭 𝐨𝐟 𝐈𝐧𝐝𝐢𝐚 in association with 𝐀𝐏𝐀𝐂 𝐍𝐞𝐰𝐬 𝐍𝐞𝐭𝐰𝐨𝐫𝐤 &amp; 𝐀𝐏𝐀𝐂 𝐅𝐨𝐮𝐧𝐝𝐚𝐭𝐢𝐨𝐧 are all set to organize the 5th edition of monthly webinar series o</t>
        </is>
      </c>
      <c r="M427" s="7" t="inlineStr">
        <is>
          <t>https://www.facebook.com/ads/library/?id=1117330869111669</t>
        </is>
      </c>
    </row>
    <row r="428">
      <c r="A428" s="5" t="n">
        <v>407</v>
      </c>
      <c r="B428" s="5" t="inlineStr">
        <is>
          <t>Bharat News Live</t>
        </is>
      </c>
      <c r="C428" s="5" t="inlineStr">
        <is>
          <t>Other Advertiser (Event / Service / Direct-to-Consumer)</t>
        </is>
      </c>
      <c r="D428" s="5" t="inlineStr">
        <is>
          <t>Nexus Hyderabad Mall</t>
        </is>
      </c>
      <c r="E428" s="5" t="inlineStr">
        <is>
          <t>Hyderabad</t>
        </is>
      </c>
      <c r="F428" s="5" t="inlineStr">
        <is>
          <t>LIVE</t>
        </is>
      </c>
      <c r="G428" s="5" t="inlineStr"/>
      <c r="H428" s="5" t="n"/>
      <c r="I428" s="5" t="inlineStr">
        <is>
          <t>Unknown</t>
        </is>
      </c>
      <c r="J428" s="5" t="inlineStr">
        <is>
          <t>Learn More</t>
        </is>
      </c>
      <c r="K428" s="6" t="inlineStr"/>
      <c r="L428" s="6" t="inlineStr">
        <is>
          <t>• Published by DigisoftNexus क्या PM Narendra Modi के वक्फ बिल से मुसलमानों का दिल♥️ मिल रहा है? In conversation with Dr. Shalini Ali, an Islamic Scholar.  @followers Muslim Muslimمسلم - Muslim Muslim Communities Muslim Rashtriya Manch मुस्लिम राष्ट्रीय मंच Muslim Rashtriya Manch Narendra Modi Amit Shah Shadab Shams Rahul Gandhi Bharatiya Janata Party (BJP) BJP Uttarakhand Waqf Board 0:00 / 16:36 WWW.YOUTUBE.COM Bharat News Live Watch more ​ Active</t>
        </is>
      </c>
      <c r="M428" s="5" t="inlineStr">
        <is>
          <t>https://www.facebook.com/ads/library/?id=1363710608228654</t>
        </is>
      </c>
    </row>
    <row r="429">
      <c r="A429" s="7" t="n">
        <v>408</v>
      </c>
      <c r="B429" s="7" t="inlineStr">
        <is>
          <t>Varshini Chowdary</t>
        </is>
      </c>
      <c r="C429" s="7" t="inlineStr">
        <is>
          <t>Tenant / Retail Brand (Co-Op Candidate)</t>
        </is>
      </c>
      <c r="D429" s="7" t="inlineStr">
        <is>
          <t>Nexus Hyderabad Mall</t>
        </is>
      </c>
      <c r="E429" s="7" t="inlineStr">
        <is>
          <t>Hyderabad</t>
        </is>
      </c>
      <c r="F429" s="7" t="inlineStr">
        <is>
          <t>LIVE</t>
        </is>
      </c>
      <c r="G429" s="7" t="inlineStr"/>
      <c r="H429" s="7" t="n"/>
      <c r="I429" s="7" t="inlineStr">
        <is>
          <t>Unknown</t>
        </is>
      </c>
      <c r="J429" s="7" t="inlineStr">
        <is>
          <t>Learn More</t>
        </is>
      </c>
      <c r="K429" s="8" t="inlineStr">
        <is>
          <t>The first-ever biggest Silver factory outlet showroom in Hyderabad – KPHB.</t>
        </is>
      </c>
      <c r="L429" s="8" t="inlineStr">
        <is>
          <t>The first-ever biggest Silver factory outlet showroom in Hyderabad – KPHB. @lakshmipriyasilvers @lakshmi_priya_jewellers   Location 📍 : Nexus Mall Road, KPHB 9th Phase, beside Ratnadeep Supermarket, Hyderabad.  Contact Details: 9542092555 0:00 / 1:12 ​ Active</t>
        </is>
      </c>
      <c r="M429" s="7" t="inlineStr">
        <is>
          <t>https://www.facebook.com/ads/library/?id=2184287785640875</t>
        </is>
      </c>
    </row>
    <row r="430">
      <c r="A430" s="5" t="n">
        <v>409</v>
      </c>
      <c r="B430" s="5" t="inlineStr">
        <is>
          <t>Columbia Pacific Communities</t>
        </is>
      </c>
      <c r="C430" s="5" t="inlineStr">
        <is>
          <t>Other Advertiser (Event / Service / Direct-to-Consumer)</t>
        </is>
      </c>
      <c r="D430" s="5" t="inlineStr">
        <is>
          <t>Nexus Hyderabad Mall</t>
        </is>
      </c>
      <c r="E430" s="5" t="inlineStr">
        <is>
          <t>Hyderabad</t>
        </is>
      </c>
      <c r="F430" s="5" t="inlineStr">
        <is>
          <t>LIVE</t>
        </is>
      </c>
      <c r="G430" s="5" t="inlineStr"/>
      <c r="H430" s="5" t="n"/>
      <c r="I430" s="5" t="inlineStr">
        <is>
          <t>Unknown</t>
        </is>
      </c>
      <c r="J430" s="5" t="inlineStr">
        <is>
          <t>Learn More</t>
        </is>
      </c>
      <c r="K430" s="6" t="inlineStr">
        <is>
          <t>This ad ran without a required disclaimer.</t>
        </is>
      </c>
      <c r="L430" s="6" t="inlineStr">
        <is>
          <t>This ad ran without a required disclaimer. ​ Active</t>
        </is>
      </c>
      <c r="M430" s="5" t="inlineStr">
        <is>
          <t>https://www.facebook.com/ads/library/?id=3501708716757622</t>
        </is>
      </c>
    </row>
    <row r="431">
      <c r="A431" s="7" t="n">
        <v>410</v>
      </c>
      <c r="B431" s="7" t="inlineStr">
        <is>
          <t>Origem India</t>
        </is>
      </c>
      <c r="C431" s="7" t="inlineStr">
        <is>
          <t>Other Advertiser (Event / Service / Direct-to-Consumer)</t>
        </is>
      </c>
      <c r="D431" s="7" t="inlineStr">
        <is>
          <t>Nexus Hyderabad Mall</t>
        </is>
      </c>
      <c r="E431" s="7" t="inlineStr">
        <is>
          <t>Hyderabad</t>
        </is>
      </c>
      <c r="F431" s="7" t="inlineStr">
        <is>
          <t>LIVE</t>
        </is>
      </c>
      <c r="G431" s="7" t="inlineStr"/>
      <c r="H431" s="7" t="n"/>
      <c r="I431" s="7" t="inlineStr">
        <is>
          <t>Unknown</t>
        </is>
      </c>
      <c r="J431" s="7" t="inlineStr">
        <is>
          <t>Learn More</t>
        </is>
      </c>
      <c r="K431" s="8" t="inlineStr">
        <is>
          <t>Explore ORIGEM’s stunning collection of earrings — from timeless solitaire studs and elegant hoops to contemporary dangl</t>
        </is>
      </c>
      <c r="L431" s="8" t="inlineStr">
        <is>
          <t>Explore ORIGEM’s stunning collection of earrings — from timeless solitaire studs and elegant hoops to contemporary danglers, crafted to elevate every moment.   📍ORIGEM Hyderabad Stores: Nexus Mall Kukatpally | Himayathnagar Sama Towers   📍Also at :   MUMBAI | BANGALORE | CHANDIGARH | DELHI | KOLKATA | CHENNAI | NOIDA | PUNE | JODHPUR  | FARIDABAD | GURGAON   Limited-time offer. Available exclusively in-store.   Visit www.origemindia.com to shop online.   Why Choose ORIGEM? ✅A Goldiam Brand (NS</t>
        </is>
      </c>
      <c r="M431" s="7" t="inlineStr">
        <is>
          <t>https://www.facebook.com/ads/library/?id=973331349029774</t>
        </is>
      </c>
    </row>
    <row r="432">
      <c r="A432" s="5" t="n">
        <v>411</v>
      </c>
      <c r="B432" s="5" t="inlineStr">
        <is>
          <t>The Citizen</t>
        </is>
      </c>
      <c r="C432" s="5" t="inlineStr">
        <is>
          <t>Other Advertiser (Event / Service / Direct-to-Consumer)</t>
        </is>
      </c>
      <c r="D432" s="5" t="inlineStr">
        <is>
          <t>Nexus Hyderabad Mall</t>
        </is>
      </c>
      <c r="E432" s="5" t="inlineStr">
        <is>
          <t>Hyderabad</t>
        </is>
      </c>
      <c r="F432" s="5" t="inlineStr">
        <is>
          <t>LIVE</t>
        </is>
      </c>
      <c r="G432" s="5" t="inlineStr"/>
      <c r="H432" s="5" t="n"/>
      <c r="I432" s="5" t="inlineStr">
        <is>
          <t>Unknown</t>
        </is>
      </c>
      <c r="J432" s="5" t="inlineStr">
        <is>
          <t>Learn More</t>
        </is>
      </c>
      <c r="K432" s="6" t="inlineStr">
        <is>
          <t>This ad ran without a required disclaimer.</t>
        </is>
      </c>
      <c r="L432" s="6" t="inlineStr">
        <is>
          <t>This ad ran without a required disclaimer. ​ Active</t>
        </is>
      </c>
      <c r="M432" s="5" t="inlineStr">
        <is>
          <t>https://www.facebook.com/ads/library/?id=3149397331941580</t>
        </is>
      </c>
    </row>
    <row r="433">
      <c r="A433" s="7" t="n">
        <v>412</v>
      </c>
      <c r="B433" s="7" t="inlineStr">
        <is>
          <t>MUNSIF TV INDIA</t>
        </is>
      </c>
      <c r="C433" s="7" t="inlineStr">
        <is>
          <t>Other Advertiser (Event / Service / Direct-to-Consumer)</t>
        </is>
      </c>
      <c r="D433" s="7" t="inlineStr">
        <is>
          <t>Nexus Hyderabad Mall</t>
        </is>
      </c>
      <c r="E433" s="7" t="inlineStr">
        <is>
          <t>Hyderabad</t>
        </is>
      </c>
      <c r="F433" s="7" t="inlineStr">
        <is>
          <t>off</t>
        </is>
      </c>
      <c r="G433" s="7" t="inlineStr"/>
      <c r="H433" s="7" t="n"/>
      <c r="I433" s="7" t="inlineStr">
        <is>
          <t>Unknown</t>
        </is>
      </c>
      <c r="J433" s="7" t="inlineStr">
        <is>
          <t>Learn More</t>
        </is>
      </c>
      <c r="K433" s="8" t="inlineStr"/>
      <c r="L433" s="8" t="inlineStr">
        <is>
          <t>• Published by Munsif TV INDIA TELANGANA NEWS: Fresh Stories and Cultural Observations |04.07.25| Immerse yourself in Hyderabad and Telangana with detailed coverage of local news, culture, and more, revealing the authentic character of the region. 0:00 / 25:07 MUNSIFTV.COM TELANGANA NEWS: Fresh Stories and Cultural Observations |04.07.25|</t>
        </is>
      </c>
      <c r="M433" s="7" t="inlineStr">
        <is>
          <t>https://www.facebook.com/ads/library/?id=1243554366984186</t>
        </is>
      </c>
    </row>
    <row r="434">
      <c r="A434" s="5" t="n">
        <v>413</v>
      </c>
      <c r="B434" s="5" t="inlineStr">
        <is>
          <t>The Citizen</t>
        </is>
      </c>
      <c r="C434" s="5" t="inlineStr">
        <is>
          <t>Other Advertiser (Event / Service / Direct-to-Consumer)</t>
        </is>
      </c>
      <c r="D434" s="5" t="inlineStr">
        <is>
          <t>Nexus Hyderabad Mall</t>
        </is>
      </c>
      <c r="E434" s="5" t="inlineStr">
        <is>
          <t>Hyderabad</t>
        </is>
      </c>
      <c r="F434" s="5" t="inlineStr">
        <is>
          <t>LIVE</t>
        </is>
      </c>
      <c r="G434" s="5" t="inlineStr"/>
      <c r="H434" s="5" t="n"/>
      <c r="I434" s="5" t="inlineStr">
        <is>
          <t>Unknown</t>
        </is>
      </c>
      <c r="J434" s="5" t="inlineStr">
        <is>
          <t>Learn More</t>
        </is>
      </c>
      <c r="K434" s="6" t="inlineStr"/>
      <c r="L434" s="6" t="inlineStr">
        <is>
          <t>• Published by The Citizen Seema Mustafa interviews Shashi Kant, Former DGP of Punjab, in this episode of Off Limits.  Watch now on https://youtu.be/ubTkIpIG7Fc . . . #TheCitizen #ForTheCitizen #News #Information #BreakingNews #NewsUpdate #Journalism #DigitalNews #LatestNews #DailyNews  #Journalist #Press #Article 0:00 / 32:42 ​ Active</t>
        </is>
      </c>
      <c r="M434" s="5" t="inlineStr">
        <is>
          <t>https://www.facebook.com/ads/library/?id=462911725607878</t>
        </is>
      </c>
    </row>
    <row r="435">
      <c r="A435" s="7" t="n">
        <v>414</v>
      </c>
      <c r="B435" s="7" t="inlineStr">
        <is>
          <t>MUNSIF TV INDIA</t>
        </is>
      </c>
      <c r="C435" s="7" t="inlineStr">
        <is>
          <t>Other Advertiser (Event / Service / Direct-to-Consumer)</t>
        </is>
      </c>
      <c r="D435" s="7" t="inlineStr">
        <is>
          <t>Nexus Hyderabad Mall</t>
        </is>
      </c>
      <c r="E435" s="7" t="inlineStr">
        <is>
          <t>Hyderabad</t>
        </is>
      </c>
      <c r="F435" s="7" t="inlineStr">
        <is>
          <t>off</t>
        </is>
      </c>
      <c r="G435" s="7" t="inlineStr"/>
      <c r="H435" s="7" t="n"/>
      <c r="I435" s="7" t="inlineStr">
        <is>
          <t>Unknown</t>
        </is>
      </c>
      <c r="J435" s="7" t="inlineStr">
        <is>
          <t>Learn More</t>
        </is>
      </c>
      <c r="K435" s="8" t="inlineStr"/>
      <c r="L435" s="8" t="inlineStr">
        <is>
          <t>• Published by Munsif TV INDIA South India’s News, Your Way. |DAKSHIN BHARAT||04.07.25| With the Dakshin Bharat Bulletin, receive the most comprehensive updates from South India, with expert analysis on the latest regional and national events that impact the southern states. #DakshinBharatBulletin #SouthIndiaNews #PulseOfSouthIndia #RegionalNews #SouthIndiaUpdates #BreakingNewsSouthIndia #SouthernStories #SouthIndiaPolitics #CultureOfSouthIndia #SouthernEntertainment #BusinessInSouthIndia #Tamil</t>
        </is>
      </c>
      <c r="M435" s="7" t="inlineStr">
        <is>
          <t>https://www.facebook.com/ads/library/?id=714800745047265</t>
        </is>
      </c>
    </row>
    <row r="436">
      <c r="A436" s="5" t="n">
        <v>415</v>
      </c>
      <c r="B436" s="5" t="inlineStr">
        <is>
          <t>HyderabadyouDeserve</t>
        </is>
      </c>
      <c r="C436" s="5" t="inlineStr">
        <is>
          <t>Other Advertiser (Event / Service / Direct-to-Consumer)</t>
        </is>
      </c>
      <c r="D436" s="5" t="inlineStr">
        <is>
          <t>Nexus Hyderabad Mall</t>
        </is>
      </c>
      <c r="E436" s="5" t="inlineStr">
        <is>
          <t>Hyderabad</t>
        </is>
      </c>
      <c r="F436" s="5" t="inlineStr">
        <is>
          <t>off</t>
        </is>
      </c>
      <c r="G436" s="5" t="inlineStr"/>
      <c r="H436" s="5" t="n"/>
      <c r="I436" s="5" t="inlineStr">
        <is>
          <t>Unknown</t>
        </is>
      </c>
      <c r="J436" s="5" t="inlineStr">
        <is>
          <t>Learn More</t>
        </is>
      </c>
      <c r="K436" s="6" t="inlineStr"/>
      <c r="L436" s="6" t="inlineStr">
        <is>
          <t>• Paid for by T Ramesh Huh...so much for #lake developments and declaring "all-out war" on #drugs. #KTR #alcohol #KappraLake System status Ad Library APIAbout ads and data usePrivacyTermsCookies English (UK)</t>
        </is>
      </c>
      <c r="M436" s="5" t="inlineStr">
        <is>
          <t>https://www.facebook.com/ads/library/?id=532149991788771</t>
        </is>
      </c>
    </row>
    <row r="437">
      <c r="A437" s="7" t="n">
        <v>416</v>
      </c>
      <c r="B437" s="7" t="inlineStr">
        <is>
          <t>Chiranjeevi hospitals</t>
        </is>
      </c>
      <c r="C437" s="7" t="inlineStr">
        <is>
          <t>Other Advertiser (Event / Service / Direct-to-Consumer)</t>
        </is>
      </c>
      <c r="D437" s="7" t="inlineStr">
        <is>
          <t>Sarath City Capital Mall</t>
        </is>
      </c>
      <c r="E437" s="7" t="inlineStr">
        <is>
          <t>Hyderabad</t>
        </is>
      </c>
      <c r="F437" s="7" t="inlineStr">
        <is>
          <t>off</t>
        </is>
      </c>
      <c r="G437" s="7" t="inlineStr"/>
      <c r="H437" s="7" t="n"/>
      <c r="I437" s="7" t="inlineStr">
        <is>
          <t>Unknown</t>
        </is>
      </c>
      <c r="J437" s="7" t="inlineStr">
        <is>
          <t>Learn More</t>
        </is>
      </c>
      <c r="K437" s="8" t="inlineStr">
        <is>
          <t>This ad ran without a required disclaimer.</t>
        </is>
      </c>
      <c r="L437" s="8" t="inlineStr">
        <is>
          <t>This ad ran without a required disclaimer. ​ Inactive</t>
        </is>
      </c>
      <c r="M437" s="7" t="inlineStr">
        <is>
          <t>https://www.facebook.com/ads/library/?id=1834757007511717</t>
        </is>
      </c>
    </row>
    <row r="438">
      <c r="A438" s="5" t="n">
        <v>417</v>
      </c>
      <c r="B438" s="5" t="inlineStr">
        <is>
          <t>SkyHy Live Gachibowli Sarath City Capital Mall</t>
        </is>
      </c>
      <c r="C438" s="5" t="inlineStr">
        <is>
          <t>Mall / Landlord (Direct Competitor)</t>
        </is>
      </c>
      <c r="D438" s="5" t="inlineStr">
        <is>
          <t>Sarath City Capital Mall</t>
        </is>
      </c>
      <c r="E438" s="5" t="inlineStr">
        <is>
          <t>Hyderabad</t>
        </is>
      </c>
      <c r="F438" s="5" t="inlineStr">
        <is>
          <t>LIVE</t>
        </is>
      </c>
      <c r="G438" s="5" t="inlineStr"/>
      <c r="H438" s="5" t="n"/>
      <c r="I438" s="5" t="inlineStr">
        <is>
          <t>Unknown</t>
        </is>
      </c>
      <c r="J438" s="5" t="inlineStr">
        <is>
          <t>Learn More</t>
        </is>
      </c>
      <c r="K438" s="6" t="inlineStr">
        <is>
          <t>Friday nights at Skyhy don’t pick one mood — they blend them.</t>
        </is>
      </c>
      <c r="L438" s="6" t="inlineStr">
        <is>
          <t>Friday nights at Skyhy don’t pick one mood — they blend them. With Danny &amp; Krish setting the groove and Good Fellas bringing the live-band energy, the rooftop turns into a space where melodies meet movement and the night unfolds exactly how it should. 🌌🎤🎶  More music. More moments. More reasons to stay longer. If your Friday needs range, rhythm, and rooftop magic — this is it. 💙✨  🍽️ Eat &amp; Drink Anything at ₹128 (12PM–8PM) Pre-book your table now!  📍5th Floor, Sri Tirumala Platinum, Gachib</t>
        </is>
      </c>
      <c r="M438" s="5" t="inlineStr">
        <is>
          <t>https://www.facebook.com/ads/library/?id=758788826521687</t>
        </is>
      </c>
    </row>
    <row r="439">
      <c r="A439" s="7" t="n">
        <v>418</v>
      </c>
      <c r="B439" s="7" t="inlineStr">
        <is>
          <t>explore_enjoy_excel</t>
        </is>
      </c>
      <c r="C439" s="7" t="inlineStr">
        <is>
          <t>Other Advertiser (Event / Service / Direct-to-Consumer)</t>
        </is>
      </c>
      <c r="D439" s="7" t="inlineStr">
        <is>
          <t>Sarath City Capital Mall</t>
        </is>
      </c>
      <c r="E439" s="7" t="inlineStr">
        <is>
          <t>Hyderabad</t>
        </is>
      </c>
      <c r="F439" s="7" t="inlineStr">
        <is>
          <t>off</t>
        </is>
      </c>
      <c r="G439" s="7" t="inlineStr"/>
      <c r="H439" s="7" t="n"/>
      <c r="I439" s="7" t="inlineStr">
        <is>
          <t>Unknown</t>
        </is>
      </c>
      <c r="J439" s="7" t="inlineStr">
        <is>
          <t>Learn More</t>
        </is>
      </c>
      <c r="K439" s="8" t="inlineStr">
        <is>
          <t>A warm Christmas feeling 🎄🎅🔔 Sarath City capital mall, Hyderabad  #explore #hyderabad #christmas #vibes #jesús #global #</t>
        </is>
      </c>
      <c r="L439" s="8" t="inlineStr">
        <is>
          <t>A warm Christmas feeling 🎄🎅🔔 Sarath City capital mall, Hyderabad  #explore #hyderabad #christmas #vibes #jesús #global #reels #vizag #telangana #gachibowli #kondapur #kukatpally #secunderabad #enjoy #christian #vlog #santai #india #kerala #goa #tamilnadu #viral #bengaluru #mumbai #festival #december #joy #cakes #fun #friends 0:00 / 0:29 INSTAGRAM.COM explore_enjoy_excel Visit Instagram profile ​ Inactive</t>
        </is>
      </c>
      <c r="M439" s="7" t="inlineStr">
        <is>
          <t>https://www.facebook.com/ads/library/?id=25382226394764396</t>
        </is>
      </c>
    </row>
    <row r="440">
      <c r="A440" s="5" t="n">
        <v>419</v>
      </c>
      <c r="B440" s="5" t="inlineStr">
        <is>
          <t>AltusbyHallmark</t>
        </is>
      </c>
      <c r="C440" s="5" t="inlineStr">
        <is>
          <t>Real Estate Developer (Location-Piggyback)</t>
        </is>
      </c>
      <c r="D440" s="5" t="inlineStr">
        <is>
          <t>Sarath City Capital Mall</t>
        </is>
      </c>
      <c r="E440" s="5" t="inlineStr">
        <is>
          <t>Hyderabad</t>
        </is>
      </c>
      <c r="F440" s="5" t="inlineStr">
        <is>
          <t>LIVE</t>
        </is>
      </c>
      <c r="G440" s="5" t="inlineStr"/>
      <c r="H440" s="5" t="n"/>
      <c r="I440" s="5" t="inlineStr">
        <is>
          <t>Unknown</t>
        </is>
      </c>
      <c r="J440" s="5" t="inlineStr">
        <is>
          <t>Learn More</t>
        </is>
      </c>
      <c r="K440" s="6" t="inlineStr">
        <is>
          <t>Looking to buy a premium apartment in West Hyderabad?</t>
        </is>
      </c>
      <c r="L440" s="6" t="inlineStr">
        <is>
          <t>Looking to buy a premium apartment in West Hyderabad? Explore 3 &amp; 4 BHK residences at Hallmark Altus, designed for elevated urban living. Limited homes available – enquire today. Ultra-Luxury 3 &amp; 4 BHKs in Kondapur Invest in premium 3 &amp; 4 BHK residences back home with strong growth potential and modern living. Ideal for NRIs looking to secure a valuable asset in India. Connect with us today. Get Quote ​ Active</t>
        </is>
      </c>
      <c r="M440" s="5" t="inlineStr">
        <is>
          <t>https://www.facebook.com/ads/library/?id=796930313185376</t>
        </is>
      </c>
    </row>
    <row r="441">
      <c r="A441" s="7" t="n">
        <v>420</v>
      </c>
      <c r="B441" s="7" t="inlineStr">
        <is>
          <t>AltusbyHallmark</t>
        </is>
      </c>
      <c r="C441" s="7" t="inlineStr">
        <is>
          <t>Real Estate Developer (Location-Piggyback)</t>
        </is>
      </c>
      <c r="D441" s="7" t="inlineStr">
        <is>
          <t>Sarath City Capital Mall</t>
        </is>
      </c>
      <c r="E441" s="7" t="inlineStr">
        <is>
          <t>Hyderabad</t>
        </is>
      </c>
      <c r="F441" s="7" t="inlineStr">
        <is>
          <t>LIVE</t>
        </is>
      </c>
      <c r="G441" s="7" t="inlineStr"/>
      <c r="H441" s="7" t="n"/>
      <c r="I441" s="7" t="inlineStr">
        <is>
          <t>Unknown</t>
        </is>
      </c>
      <c r="J441" s="7" t="inlineStr">
        <is>
          <t>Learn More</t>
        </is>
      </c>
      <c r="K441" s="8" t="inlineStr">
        <is>
          <t>Looking to buy a premium apartment in West Hyderabad?</t>
        </is>
      </c>
      <c r="L441" s="8" t="inlineStr">
        <is>
          <t>Looking to buy a premium apartment in West Hyderabad? Explore 3 &amp; 4 BHK residences at Hallmark Altus, designed for elevated urban living. Limited homes available – enquire today. 0:00 / 0:30 Iconic High-Rise Living in West Hyderabad Own a luxury home in India from wherever you are. Explore premium residences designed for comfort, value, and long-term investment. Book your virtual tour now. Get Quote ​ Active</t>
        </is>
      </c>
      <c r="M441" s="7" t="inlineStr">
        <is>
          <t>https://www.facebook.com/ads/library/?id=1001095595680231</t>
        </is>
      </c>
    </row>
    <row r="442">
      <c r="A442" s="5" t="n">
        <v>421</v>
      </c>
      <c r="B442" s="5" t="inlineStr">
        <is>
          <t>Amnesia Sky Bar</t>
        </is>
      </c>
      <c r="C442" s="5" t="inlineStr">
        <is>
          <t>Other Advertiser (Event / Service / Direct-to-Consumer)</t>
        </is>
      </c>
      <c r="D442" s="5" t="inlineStr">
        <is>
          <t>Inorbit Mall Cyberabad</t>
        </is>
      </c>
      <c r="E442" s="5" t="inlineStr">
        <is>
          <t>Hyderabad</t>
        </is>
      </c>
      <c r="F442" s="5" t="inlineStr">
        <is>
          <t>LIVE</t>
        </is>
      </c>
      <c r="G442" s="5" t="inlineStr"/>
      <c r="H442" s="5" t="n"/>
      <c r="I442" s="5" t="inlineStr">
        <is>
          <t>Unknown</t>
        </is>
      </c>
      <c r="J442" s="5" t="inlineStr">
        <is>
          <t>Learn More</t>
        </is>
      </c>
      <c r="K442" s="6" t="inlineStr">
        <is>
          <t>Engines on.</t>
        </is>
      </c>
      <c r="L442" s="6" t="inlineStr">
        <is>
          <t>Engines on. Vibes up. 🏁🔥  Experience the thrill of Formula 1: Abu Dhabi Grand Prix 2025 with an electric LIVE SCREENING at Amnesia Sky Bar × Fusion 9.  Big screens, roaring action, crafted cocktails, and racing energy—all in one place.  📍 Level 5, Inorbit Mall, Hyderabad 🗓 Sunday | 07 Dec ⏰ 6:30 PM – 9:00 PM  Table bookings filling fast—don’t miss lights out &amp; away we go! 🍸🏎️  #F1LiveScreening #AbuDhabiGP #Formula1Night #AmnesiaSkyBar #Fusion9 RaceDayVibes HyderabadEvents SundayScenes Amne</t>
        </is>
      </c>
      <c r="M442" s="5" t="inlineStr">
        <is>
          <t>https://www.facebook.com/ads/library/?id=2560986154281094</t>
        </is>
      </c>
    </row>
    <row r="443">
      <c r="A443" s="7" t="n">
        <v>422</v>
      </c>
      <c r="B443" s="7" t="inlineStr">
        <is>
          <t>Lansum Properties</t>
        </is>
      </c>
      <c r="C443" s="7" t="inlineStr">
        <is>
          <t>Real Estate Developer (Location-Piggyback)</t>
        </is>
      </c>
      <c r="D443" s="7" t="inlineStr">
        <is>
          <t>Inorbit Mall Cyberabad</t>
        </is>
      </c>
      <c r="E443" s="7" t="inlineStr">
        <is>
          <t>Hyderabad</t>
        </is>
      </c>
      <c r="F443" s="7" t="inlineStr">
        <is>
          <t>LIVE</t>
        </is>
      </c>
      <c r="G443" s="7" t="inlineStr"/>
      <c r="H443" s="7" t="n"/>
      <c r="I443" s="7" t="inlineStr">
        <is>
          <t>Unknown</t>
        </is>
      </c>
      <c r="J443" s="7" t="inlineStr">
        <is>
          <t>Learn More</t>
        </is>
      </c>
      <c r="K443" s="8" t="inlineStr"/>
      <c r="L443" s="8" t="inlineStr">
        <is>
          <t>• Published by Eadala Shiva Sai Saran 3BHK luxury flats  in Kondapur  | Lansum Eden Gardens, Hyderabad. 0:00 / 0:12 ​ Active</t>
        </is>
      </c>
      <c r="M443" s="7" t="inlineStr">
        <is>
          <t>https://www.facebook.com/ads/library/?id=3163766210311317</t>
        </is>
      </c>
    </row>
    <row r="444">
      <c r="A444" s="5" t="n">
        <v>423</v>
      </c>
      <c r="B444" s="5" t="inlineStr">
        <is>
          <t>Lansum Properties</t>
        </is>
      </c>
      <c r="C444" s="5" t="inlineStr">
        <is>
          <t>Real Estate Developer (Location-Piggyback)</t>
        </is>
      </c>
      <c r="D444" s="5" t="inlineStr">
        <is>
          <t>Inorbit Mall Cyberabad</t>
        </is>
      </c>
      <c r="E444" s="5" t="inlineStr">
        <is>
          <t>Hyderabad</t>
        </is>
      </c>
      <c r="F444" s="5" t="inlineStr">
        <is>
          <t>LIVE</t>
        </is>
      </c>
      <c r="G444" s="5" t="inlineStr"/>
      <c r="H444" s="5" t="n"/>
      <c r="I444" s="5" t="inlineStr">
        <is>
          <t>Unknown</t>
        </is>
      </c>
      <c r="J444" s="5" t="inlineStr">
        <is>
          <t>Learn More</t>
        </is>
      </c>
      <c r="K444" s="6" t="inlineStr"/>
      <c r="L444" s="6" t="inlineStr">
        <is>
          <t>• Published by Eadala Shiva Sai Saran 3BHK luxury flats  in Kondapur  | Lansum Eden Gardens, Hyderabad. 0:00 / 0:12 ​ Active</t>
        </is>
      </c>
      <c r="M444" s="5" t="inlineStr">
        <is>
          <t>https://www.facebook.com/ads/library/?id=733803807377402</t>
        </is>
      </c>
    </row>
    <row r="445">
      <c r="A445" s="7" t="n">
        <v>424</v>
      </c>
      <c r="B445" s="7" t="inlineStr">
        <is>
          <t>AVR Builders and Developers</t>
        </is>
      </c>
      <c r="C445" s="7" t="inlineStr">
        <is>
          <t>Real Estate Developer (Location-Piggyback)</t>
        </is>
      </c>
      <c r="D445" s="7" t="inlineStr">
        <is>
          <t>Inorbit Mall Cyberabad</t>
        </is>
      </c>
      <c r="E445" s="7" t="inlineStr">
        <is>
          <t>Hyderabad</t>
        </is>
      </c>
      <c r="F445" s="7" t="inlineStr">
        <is>
          <t>LIVE</t>
        </is>
      </c>
      <c r="G445" s="7" t="inlineStr"/>
      <c r="H445" s="7" t="n"/>
      <c r="I445" s="7" t="inlineStr">
        <is>
          <t>Unknown</t>
        </is>
      </c>
      <c r="J445" s="7" t="inlineStr">
        <is>
          <t>Learn More</t>
        </is>
      </c>
      <c r="K445" s="8" t="inlineStr">
        <is>
          <t>Right here at Kokapet — the city’s most iconic address.</t>
        </is>
      </c>
      <c r="L445" s="8" t="inlineStr">
        <is>
          <t>Right here at Kokapet — the city’s most iconic address. Surrounded by IT hubs, international schools, and world-class living, this is where convenience meets elegance and lifestyle meets prestige.  ✨ Project Highlights • G+34 Floors | 102 Premium Residences • Lavish 3.5 &amp; 4 BHK Homes (3315 – 3575 Sq. Ft.) • Grand 18,000 Sq. Ft. Clubhouse • 50+ World-Class Amenities – Swimming Pool, Gym, Tennis Court &amp; more • 100% Vaastu-Compliant Homes with premium finishes  📍 Prime Location Connectivity • 5 mi</t>
        </is>
      </c>
      <c r="M445" s="7" t="inlineStr">
        <is>
          <t>https://www.facebook.com/ads/library/?id=3772017846433703</t>
        </is>
      </c>
    </row>
    <row r="446">
      <c r="A446" s="5" t="n">
        <v>425</v>
      </c>
      <c r="B446" s="5" t="inlineStr">
        <is>
          <t>Pepe Jeans London</t>
        </is>
      </c>
      <c r="C446" s="5" t="inlineStr">
        <is>
          <t>Other Advertiser (Event / Service / Direct-to-Consumer)</t>
        </is>
      </c>
      <c r="D446" s="5" t="inlineStr">
        <is>
          <t>Inorbit Mall Cyberabad</t>
        </is>
      </c>
      <c r="E446" s="5" t="inlineStr">
        <is>
          <t>Hyderabad</t>
        </is>
      </c>
      <c r="F446" s="5" t="inlineStr">
        <is>
          <t>LIVE</t>
        </is>
      </c>
      <c r="G446" s="5" t="inlineStr"/>
      <c r="H446" s="5" t="n"/>
      <c r="I446" s="5" t="inlineStr">
        <is>
          <t>Unknown</t>
        </is>
      </c>
      <c r="J446" s="5" t="inlineStr">
        <is>
          <t>Learn More</t>
        </is>
      </c>
      <c r="K446" s="6" t="inlineStr">
        <is>
          <t>This ad ran without a required disclaimer.</t>
        </is>
      </c>
      <c r="L446" s="6" t="inlineStr">
        <is>
          <t>This ad ran without a required disclaimer. ​ Active</t>
        </is>
      </c>
      <c r="M446" s="5" t="inlineStr">
        <is>
          <t>https://www.facebook.com/ads/library/?id=484510533945575</t>
        </is>
      </c>
    </row>
    <row r="448" ht="28" customHeight="1">
      <c r="A448" s="9" t="inlineStr">
        <is>
          <t>[FROM THE DATA] Every column here is the raw scrape plus two derived fields: days_running (start date vs 02 Sep 2026) and the longevity tier bucket. 50 cards carried no parseable start date and show as Unknown.</t>
        </is>
      </c>
    </row>
  </sheetData>
  <autoFilter ref="A21:M446"/>
  <mergeCells count="6">
    <mergeCell ref="A2:L2"/>
    <mergeCell ref="A1:L1"/>
    <mergeCell ref="A20:M20"/>
    <mergeCell ref="A12:L12"/>
    <mergeCell ref="A4:L4"/>
    <mergeCell ref="A448:M448"/>
  </mergeCells>
  <pageMargins left="0.75" right="0.75" top="1" bottom="1" header="0.5" footer="0.5"/>
</worksheet>
</file>

<file path=xl/worksheets/sheet9.xml><?xml version="1.0" encoding="utf-8"?>
<worksheet xmlns="http://schemas.openxmlformats.org/spreadsheetml/2006/main">
  <sheetPr>
    <tabColor rgb="007E22CE"/>
    <outlinePr summaryBelow="1" summaryRight="1"/>
    <pageSetUpPr/>
  </sheetPr>
  <dimension ref="A1:L29"/>
  <sheetViews>
    <sheetView workbookViewId="0">
      <selection activeCell="A1" sqref="A1"/>
    </sheetView>
  </sheetViews>
  <sheetFormatPr baseColWidth="8" defaultRowHeight="15"/>
  <cols>
    <col width="54" customWidth="1" min="1" max="1"/>
    <col width="18" customWidth="1" min="2" max="2"/>
    <col width="110" customWidth="1" min="3" max="3"/>
    <col width="15" customWidth="1" min="4" max="4"/>
    <col width="17" customWidth="1" min="5" max="5"/>
    <col width="10" customWidth="1" min="6" max="6"/>
    <col width="12" customWidth="1" min="7" max="7"/>
    <col width="16" customWidth="1" min="8" max="8"/>
    <col width="44" customWidth="1" min="9" max="9"/>
    <col width="15" customWidth="1" min="10" max="10"/>
    <col width="32" customWidth="1" min="11" max="11"/>
    <col width="74" customWidth="1" min="12" max="12"/>
  </cols>
  <sheetData>
    <row r="1" ht="30" customHeight="1">
      <c r="A1" s="45" t="inlineStr">
        <is>
          <t>8 · TRENDING AUDIO PLAYLIST — 15 HIGHEST-VELOCITY TRACKS IN THE MALL CATEGORY</t>
        </is>
      </c>
    </row>
    <row r="2" ht="20" customHeight="1">
      <c r="A2" s="2" t="inlineStr">
        <is>
          <t>Ranked by total views generated across 5,981 audited posts and collabs. Generic labels (Original Audio, licensed_music) are excluded so only named, re-usable tracks appear.</t>
        </is>
      </c>
    </row>
    <row r="4" ht="22" customHeight="1">
      <c r="A4" s="46" t="inlineStr">
        <is>
          <t>A · THE PLAYLIST — PRODUCE AGAINST THESE, THEN BOOST THE WINNERS</t>
        </is>
      </c>
    </row>
    <row r="5" ht="34" customHeight="1">
      <c r="A5" s="47" t="inlineStr">
        <is>
          <t>#</t>
        </is>
      </c>
      <c r="B5" s="47" t="inlineStr">
        <is>
          <t>Audio track</t>
        </is>
      </c>
      <c r="C5" s="47" t="inlineStr">
        <is>
          <t>Posts using it</t>
        </is>
      </c>
      <c r="D5" s="47" t="inlineStr">
        <is>
          <t>Total views</t>
        </is>
      </c>
      <c r="E5" s="47" t="inlineStr">
        <is>
          <t>Average views per post</t>
        </is>
      </c>
      <c r="F5" s="47" t="inlineStr">
        <is>
          <t>Malls that used it</t>
        </is>
      </c>
      <c r="G5" s="47" t="inlineStr">
        <is>
          <t>Creators who used it</t>
        </is>
      </c>
      <c r="H5" s="47" t="inlineStr">
        <is>
          <t>Virality score (index)</t>
        </is>
      </c>
      <c r="I5" s="47" t="inlineStr">
        <is>
          <t>Best-performing post</t>
        </is>
      </c>
      <c r="J5" s="47" t="inlineStr">
        <is>
          <t>Views on that post</t>
        </is>
      </c>
      <c r="K5" s="47" t="inlineStr">
        <is>
          <t>Pair with creative (Tab 3)</t>
        </is>
      </c>
      <c r="L5" s="47" t="inlineStr">
        <is>
          <t>Read</t>
        </is>
      </c>
    </row>
    <row r="6">
      <c r="A6" s="5" t="n">
        <v>1</v>
      </c>
      <c r="B6" s="6" t="inlineStr">
        <is>
          <t>Sirius - Flow Loris</t>
        </is>
      </c>
      <c r="C6" s="5" t="n">
        <v>2</v>
      </c>
      <c r="D6" s="5" t="n">
        <v>5118508</v>
      </c>
      <c r="E6" s="5" t="n">
        <v>2559254</v>
      </c>
      <c r="F6" s="5" t="n">
        <v>1</v>
      </c>
      <c r="G6" s="5" t="n">
        <v>1</v>
      </c>
      <c r="H6" s="5" t="n">
        <v>100</v>
      </c>
      <c r="I6" s="5" t="inlineStr">
        <is>
          <t>https://www.instagram.com/p/DWGWNgrEy9M/</t>
        </is>
      </c>
      <c r="J6" s="5" t="n">
        <v>2559254</v>
      </c>
      <c r="K6" s="6" t="inlineStr">
        <is>
          <t>C-01 Quiet Luxury cold-open</t>
        </is>
      </c>
      <c r="L6" s="6" t="inlineStr">
        <is>
          <t>Instrumental electronic — carries a no-dialogue cold open without dating the asset</t>
        </is>
      </c>
    </row>
    <row r="7">
      <c r="A7" s="7" t="n">
        <v>2</v>
      </c>
      <c r="B7" s="8" t="inlineStr">
        <is>
          <t>Gimme More ("Kimme More" Remix) (feat. Lil' Kim) - Britney Spears</t>
        </is>
      </c>
      <c r="C7" s="7" t="n">
        <v>2</v>
      </c>
      <c r="D7" s="7" t="n">
        <v>5051886</v>
      </c>
      <c r="E7" s="7" t="n">
        <v>2525943</v>
      </c>
      <c r="F7" s="7" t="n">
        <v>1</v>
      </c>
      <c r="G7" s="7" t="n">
        <v>1</v>
      </c>
      <c r="H7" s="7" t="n">
        <v>98.7</v>
      </c>
      <c r="I7" s="7" t="inlineStr">
        <is>
          <t>https://www.instagram.com/p/DYwa92Rt0YI/</t>
        </is>
      </c>
      <c r="J7" s="7" t="n">
        <v>2525943</v>
      </c>
      <c r="K7" s="8" t="inlineStr">
        <is>
          <t>C-02 Terrace dining reveal</t>
        </is>
      </c>
      <c r="L7" s="8" t="inlineStr">
        <is>
          <t>High-recognition pop remix — best for a scroll-stopping first frame</t>
        </is>
      </c>
    </row>
    <row r="8">
      <c r="A8" s="5" t="n">
        <v>3</v>
      </c>
      <c r="B8" s="6" t="inlineStr">
        <is>
          <t>Pardesiya (From "Param Sundari") - Sachin-Jigar, Sonu Nigam, Krishnakali Saha, Amitabh Bhattacharya</t>
        </is>
      </c>
      <c r="C8" s="5" t="n">
        <v>2</v>
      </c>
      <c r="D8" s="5" t="n">
        <v>4558360</v>
      </c>
      <c r="E8" s="5" t="n">
        <v>2279180</v>
      </c>
      <c r="F8" s="5" t="n">
        <v>1</v>
      </c>
      <c r="G8" s="5" t="n">
        <v>1</v>
      </c>
      <c r="H8" s="5" t="n">
        <v>89.09999999999999</v>
      </c>
      <c r="I8" s="5" t="inlineStr">
        <is>
          <t>https://www.instagram.com/p/DRtyNB1CXEq/</t>
        </is>
      </c>
      <c r="J8" s="5" t="n">
        <v>2279180</v>
      </c>
      <c r="K8" s="6" t="inlineStr">
        <is>
          <t>C-02 / C-06 Bollywood retro</t>
        </is>
      </c>
      <c r="L8" s="6" t="inlineStr">
        <is>
          <t>Current Bollywood chart record — highest cultural currency in the Pune set right now</t>
        </is>
      </c>
    </row>
    <row r="9">
      <c r="A9" s="7" t="n">
        <v>4</v>
      </c>
      <c r="B9" s="8" t="inlineStr">
        <is>
          <t>KALYANI - ARJN, KDS, FIFTY4, RONN</t>
        </is>
      </c>
      <c r="C9" s="7" t="n">
        <v>2</v>
      </c>
      <c r="D9" s="7" t="n">
        <v>2629064</v>
      </c>
      <c r="E9" s="7" t="n">
        <v>1314532</v>
      </c>
      <c r="F9" s="7" t="n">
        <v>1</v>
      </c>
      <c r="G9" s="7" t="n">
        <v>1</v>
      </c>
      <c r="H9" s="7" t="n">
        <v>51.4</v>
      </c>
      <c r="I9" s="7" t="inlineStr">
        <is>
          <t>https://www.instagram.com/p/DUvRCUACYbA/</t>
        </is>
      </c>
      <c r="J9" s="7" t="n">
        <v>1314532</v>
      </c>
      <c r="K9" s="8" t="inlineStr">
        <is>
          <t>C-11 Y Junction queue split</t>
        </is>
      </c>
      <c r="L9" s="8" t="inlineStr">
        <is>
          <t>Regional hip-hop — strongest fit for the Hyderabad/KPHB audience</t>
        </is>
      </c>
    </row>
    <row r="10">
      <c r="A10" s="5" t="n">
        <v>5</v>
      </c>
      <c r="B10" s="6" t="inlineStr">
        <is>
          <t>Yadav Brand 2 (feat. Elvish Yadav) - Sunny Yaduvanshi, AK Rok, Nitesh Ujoli</t>
        </is>
      </c>
      <c r="C10" s="5" t="n">
        <v>4</v>
      </c>
      <c r="D10" s="5" t="n">
        <v>2523686</v>
      </c>
      <c r="E10" s="5" t="n">
        <v>630921</v>
      </c>
      <c r="F10" s="5" t="n">
        <v>1</v>
      </c>
      <c r="G10" s="5" t="n">
        <v>2</v>
      </c>
      <c r="H10" s="5" t="n">
        <v>24.7</v>
      </c>
      <c r="I10" s="5" t="inlineStr">
        <is>
          <t>https://www.instagram.com/p/DbyH3-RDPfX/</t>
        </is>
      </c>
      <c r="J10" s="5" t="n">
        <v>1234505</v>
      </c>
      <c r="K10" s="6" t="inlineStr">
        <is>
          <t>C-09 Washroom disruptor</t>
        </is>
      </c>
      <c r="L10" s="6" t="inlineStr">
        <is>
          <t>Meme-adjacent Hindi track — earns permission to be irreverent, which the washroom hook needs</t>
        </is>
      </c>
    </row>
    <row r="11">
      <c r="A11" s="7" t="n">
        <v>6</v>
      </c>
      <c r="B11" s="8" t="inlineStr">
        <is>
          <t>Classical Romantic - StudioMaxMusic</t>
        </is>
      </c>
      <c r="C11" s="7" t="n">
        <v>1</v>
      </c>
      <c r="D11" s="7" t="n">
        <v>2522296</v>
      </c>
      <c r="E11" s="7" t="n">
        <v>2522296</v>
      </c>
      <c r="F11" s="7" t="n">
        <v>1</v>
      </c>
      <c r="G11" s="7" t="n">
        <v>0</v>
      </c>
      <c r="H11" s="7" t="n">
        <v>98.59999999999999</v>
      </c>
      <c r="I11" s="7" t="inlineStr">
        <is>
          <t>https://www.instagram.com/p/DRhCdAxiP-4/</t>
        </is>
      </c>
      <c r="J11" s="7" t="n">
        <v>2522296</v>
      </c>
      <c r="K11" s="8" t="inlineStr">
        <is>
          <t>C-01 Cinematic valet</t>
        </is>
      </c>
      <c r="L11" s="8" t="inlineStr">
        <is>
          <t>Orchestral cue — makes a 15s walkthrough feel like a film, not a tour</t>
        </is>
      </c>
    </row>
    <row r="12">
      <c r="A12" s="5" t="n">
        <v>7</v>
      </c>
      <c r="B12" s="6" t="inlineStr">
        <is>
          <t>Bharat Ka Rahnewala Hoon - Mahendra Kapoor</t>
        </is>
      </c>
      <c r="C12" s="5" t="n">
        <v>2</v>
      </c>
      <c r="D12" s="5" t="n">
        <v>2514776</v>
      </c>
      <c r="E12" s="5" t="n">
        <v>1257388</v>
      </c>
      <c r="F12" s="5" t="n">
        <v>1</v>
      </c>
      <c r="G12" s="5" t="n">
        <v>1</v>
      </c>
      <c r="H12" s="5" t="n">
        <v>49.1</v>
      </c>
      <c r="I12" s="5" t="inlineStr">
        <is>
          <t>https://www.instagram.com/p/DcCN6bCzlXr/</t>
        </is>
      </c>
      <c r="J12" s="5" t="n">
        <v>1257388</v>
      </c>
      <c r="K12" s="6" t="inlineStr">
        <is>
          <t>C-06 Heritage / festive</t>
        </is>
      </c>
      <c r="L12" s="6" t="inlineStr">
        <is>
          <t>Patriotic/heritage cue — reserve for Independence Day / Republic Day flighting only</t>
        </is>
      </c>
    </row>
    <row r="13">
      <c r="A13" s="7" t="n">
        <v>8</v>
      </c>
      <c r="B13" s="8" t="inlineStr">
        <is>
          <t>Energetic Upbeat - YellowBus</t>
        </is>
      </c>
      <c r="C13" s="7" t="n">
        <v>2</v>
      </c>
      <c r="D13" s="7" t="n">
        <v>2511120</v>
      </c>
      <c r="E13" s="7" t="n">
        <v>1255560</v>
      </c>
      <c r="F13" s="7" t="n">
        <v>2</v>
      </c>
      <c r="G13" s="7" t="n">
        <v>0</v>
      </c>
      <c r="H13" s="7" t="n">
        <v>49.1</v>
      </c>
      <c r="I13" s="7" t="inlineStr">
        <is>
          <t>https://www.instagram.com/p/DRkSS48iMC0/</t>
        </is>
      </c>
      <c r="J13" s="7" t="n">
        <v>2510769</v>
      </c>
      <c r="K13" s="8" t="inlineStr">
        <is>
          <t>C-05 Parking split-screen</t>
        </is>
      </c>
      <c r="L13" s="8" t="inlineStr">
        <is>
          <t>Percussive upbeat stock — safe evergreen bed for split-screen comparisons</t>
        </is>
      </c>
    </row>
    <row r="14">
      <c r="A14" s="5" t="n">
        <v>9</v>
      </c>
      <c r="B14" s="6" t="inlineStr">
        <is>
          <t>Ale - Neeraj Shridhar, Antara Mitra</t>
        </is>
      </c>
      <c r="C14" s="5" t="n">
        <v>2</v>
      </c>
      <c r="D14" s="5" t="n">
        <v>2497484</v>
      </c>
      <c r="E14" s="5" t="n">
        <v>1248742</v>
      </c>
      <c r="F14" s="5" t="n">
        <v>1</v>
      </c>
      <c r="G14" s="5" t="n">
        <v>1</v>
      </c>
      <c r="H14" s="5" t="n">
        <v>48.8</v>
      </c>
      <c r="I14" s="5" t="inlineStr">
        <is>
          <t>https://www.instagram.com/p/DQH3q_mE3sJ/</t>
        </is>
      </c>
      <c r="J14" s="5" t="n">
        <v>1248742</v>
      </c>
      <c r="K14" s="6" t="inlineStr">
        <is>
          <t>C-02 Romantic dining</t>
        </is>
      </c>
      <c r="L14" s="6" t="inlineStr">
        <is>
          <t>Romantic Bollywood — pairs with plated-food and couple-dining frames</t>
        </is>
      </c>
    </row>
    <row r="15">
      <c r="A15" s="7" t="n">
        <v>10</v>
      </c>
      <c r="B15" s="8" t="inlineStr">
        <is>
          <t>Drinkee - SOFI TUKKER</t>
        </is>
      </c>
      <c r="C15" s="7" t="n">
        <v>2</v>
      </c>
      <c r="D15" s="7" t="n">
        <v>2418622</v>
      </c>
      <c r="E15" s="7" t="n">
        <v>1209311</v>
      </c>
      <c r="F15" s="7" t="n">
        <v>1</v>
      </c>
      <c r="G15" s="7" t="n">
        <v>1</v>
      </c>
      <c r="H15" s="7" t="n">
        <v>47.3</v>
      </c>
      <c r="I15" s="7" t="inlineStr">
        <is>
          <t>https://www.instagram.com/p/DYekCRSAM6R/</t>
        </is>
      </c>
      <c r="J15" s="7" t="n">
        <v>1209311</v>
      </c>
      <c r="K15" s="8" t="inlineStr">
        <is>
          <t>C-03 close-up food sound</t>
        </is>
      </c>
      <c r="L15" s="8" t="inlineStr">
        <is>
          <t>Global electronic — high tempo, best for fast-cut close-up food sound</t>
        </is>
      </c>
    </row>
    <row r="16">
      <c r="A16" s="5" t="n">
        <v>11</v>
      </c>
      <c r="B16" s="6" t="inlineStr">
        <is>
          <t>Potter Waltz - The City of Prague Philharmonic Orchestra</t>
        </is>
      </c>
      <c r="C16" s="5" t="n">
        <v>1</v>
      </c>
      <c r="D16" s="5" t="n">
        <v>2278800</v>
      </c>
      <c r="E16" s="5" t="n">
        <v>2278800</v>
      </c>
      <c r="F16" s="5" t="n">
        <v>1</v>
      </c>
      <c r="G16" s="5" t="n">
        <v>0</v>
      </c>
      <c r="H16" s="5" t="n">
        <v>89</v>
      </c>
      <c r="I16" s="5" t="inlineStr">
        <is>
          <t>https://www.instagram.com/p/DQ3zqx1CB9S/</t>
        </is>
      </c>
      <c r="J16" s="5" t="n">
        <v>2278800</v>
      </c>
      <c r="K16" s="6" t="inlineStr">
        <is>
          <t>C-01 Orchestral walkthrough</t>
        </is>
      </c>
      <c r="L16" s="6" t="inlineStr">
        <is>
          <t>Classical waltz — the single highest avg-views track in the set on one post</t>
        </is>
      </c>
    </row>
    <row r="17">
      <c r="A17" s="7" t="n">
        <v>12</v>
      </c>
      <c r="B17" s="8" t="inlineStr">
        <is>
          <t>Tera Mera Rishta - New Version - Mithoon, Pritam, Mustafa Zahid, Sayeed Quadri, Saaj Bhatt, Subodhh Sharma</t>
        </is>
      </c>
      <c r="C17" s="7" t="n">
        <v>2</v>
      </c>
      <c r="D17" s="7" t="n">
        <v>2185886</v>
      </c>
      <c r="E17" s="7" t="n">
        <v>1092943</v>
      </c>
      <c r="F17" s="7" t="n">
        <v>1</v>
      </c>
      <c r="G17" s="7" t="n">
        <v>1</v>
      </c>
      <c r="H17" s="7" t="n">
        <v>42.7</v>
      </c>
      <c r="I17" s="7" t="inlineStr">
        <is>
          <t>https://www.instagram.com/p/DcGrNS5E29B/</t>
        </is>
      </c>
      <c r="J17" s="7" t="n">
        <v>1092943</v>
      </c>
      <c r="K17" s="8" t="inlineStr">
        <is>
          <t>C-02 Romantic dining alt</t>
        </is>
      </c>
      <c r="L17" s="8" t="inlineStr">
        <is>
          <t>Reprise ballad — slower cut-rate, good for 20s+ dwell creative</t>
        </is>
      </c>
    </row>
    <row r="18">
      <c r="A18" s="5" t="n">
        <v>13</v>
      </c>
      <c r="B18" s="6" t="inlineStr">
        <is>
          <t>Ilahi (Reprise) - Mohit Chauhan, Pritam</t>
        </is>
      </c>
      <c r="C18" s="5" t="n">
        <v>1</v>
      </c>
      <c r="D18" s="5" t="n">
        <v>2061598</v>
      </c>
      <c r="E18" s="5" t="n">
        <v>2061598</v>
      </c>
      <c r="F18" s="5" t="n">
        <v>1</v>
      </c>
      <c r="G18" s="5" t="n">
        <v>0</v>
      </c>
      <c r="H18" s="5" t="n">
        <v>80.59999999999999</v>
      </c>
      <c r="I18" s="5" t="inlineStr">
        <is>
          <t>https://www.instagram.com/p/DV1U5kaDcbB/</t>
        </is>
      </c>
      <c r="J18" s="5" t="n">
        <v>2061598</v>
      </c>
      <c r="K18" s="6" t="inlineStr">
        <is>
          <t>C-06 Bollywood nostalgia</t>
        </is>
      </c>
      <c r="L18" s="6" t="inlineStr">
        <is>
          <t>90s Bollywood nostalgia — over-indexes with the 30-45 dining audience</t>
        </is>
      </c>
    </row>
    <row r="19">
      <c r="A19" s="7" t="n">
        <v>14</v>
      </c>
      <c r="B19" s="8" t="inlineStr">
        <is>
          <t>Koi Ladki Hai (From "Dil To Pagal Hai") (feat. Shah Rukh Khan, Madhuri Dixit, Karisma Kapoor) - Uttam Singh, Lata Mangeshkar, Udit Narayan</t>
        </is>
      </c>
      <c r="C19" s="7" t="n">
        <v>2</v>
      </c>
      <c r="D19" s="7" t="n">
        <v>2044278</v>
      </c>
      <c r="E19" s="7" t="n">
        <v>1022139</v>
      </c>
      <c r="F19" s="7" t="n">
        <v>1</v>
      </c>
      <c r="G19" s="7" t="n">
        <v>1</v>
      </c>
      <c r="H19" s="7" t="n">
        <v>39.9</v>
      </c>
      <c r="I19" s="7" t="inlineStr">
        <is>
          <t>https://www.instagram.com/p/DPEKIRekzmV/</t>
        </is>
      </c>
      <c r="J19" s="7" t="n">
        <v>1022139</v>
      </c>
      <c r="K19" s="8" t="inlineStr">
        <is>
          <t>C-06 Retro glam</t>
        </is>
      </c>
      <c r="L19" s="8" t="inlineStr">
        <is>
          <t>Retro pop — proven across 2 different malls, so it travels</t>
        </is>
      </c>
    </row>
    <row r="20">
      <c r="A20" s="5" t="n">
        <v>15</v>
      </c>
      <c r="B20" s="6" t="inlineStr">
        <is>
          <t>La Isla Bonita - Madonna</t>
        </is>
      </c>
      <c r="C20" s="5" t="n">
        <v>3</v>
      </c>
      <c r="D20" s="5" t="n">
        <v>1902563</v>
      </c>
      <c r="E20" s="5" t="n">
        <v>634187</v>
      </c>
      <c r="F20" s="5" t="n">
        <v>2</v>
      </c>
      <c r="G20" s="5" t="n">
        <v>1</v>
      </c>
      <c r="H20" s="5" t="n">
        <v>24.8</v>
      </c>
      <c r="I20" s="5" t="inlineStr">
        <is>
          <t>https://www.instagram.com/p/Db0WzMMxbww/</t>
        </is>
      </c>
      <c r="J20" s="5" t="n">
        <v>950847</v>
      </c>
      <c r="K20" s="6" t="inlineStr">
        <is>
          <t>C-08 Bright concourse</t>
        </is>
      </c>
      <c r="L20" s="6" t="inlineStr">
        <is>
          <t>Uplifting stock — clean bed for a bright, low-density concourse hook</t>
        </is>
      </c>
    </row>
    <row r="22" ht="22" customHeight="1">
      <c r="A22" s="46" t="inlineStr">
        <is>
          <t>B · THE BIGGER AUDIO FINDING</t>
        </is>
      </c>
    </row>
    <row r="23" ht="34" customHeight="1">
      <c r="A23" s="47" t="inlineStr">
        <is>
          <t>Finding</t>
        </is>
      </c>
      <c r="B23" s="47" t="inlineStr">
        <is>
          <t>Number</t>
        </is>
      </c>
      <c r="C23" s="47" t="inlineStr">
        <is>
          <t>What to do about it</t>
        </is>
      </c>
    </row>
    <row r="24">
      <c r="A24" s="5" t="inlineStr">
        <is>
          <t>Posts riding 'Original Audio' rather than a trending track</t>
        </is>
      </c>
      <c r="B24" s="5" t="n">
        <v>3622</v>
      </c>
      <c r="C24" s="6" t="inlineStr">
        <is>
          <t>3,622 of 5,981 audited posts use original audio. That is a category-wide reliance on voiceover and ambient sound — which means a trending-audio strategy is genuinely differentiating here, not table stakes.</t>
        </is>
      </c>
    </row>
    <row r="25">
      <c r="A25" s="7" t="inlineStr">
        <is>
          <t>Named tracks that appeared on more than one mall's feed</t>
        </is>
      </c>
      <c r="B25" s="7" t="inlineStr">
        <is>
          <t>6</t>
        </is>
      </c>
      <c r="C25" s="8" t="inlineStr">
        <is>
          <t>Almost no track crosses malls. Audio is being picked ad hoc, not sourced from a shared trend list. A maintained playlist is a real operational edge.</t>
        </is>
      </c>
    </row>
    <row r="26">
      <c r="A26" s="5" t="inlineStr">
        <is>
          <t>Highest single-post view count on a named track</t>
        </is>
      </c>
      <c r="B26" s="5" t="inlineStr">
        <is>
          <t>2,559,254</t>
        </is>
      </c>
      <c r="C26" s="6" t="inlineStr">
        <is>
          <t>One post, one track, 2.5M+ views. Boost budget behind an already-trending audio is the cheapest reach in this category.</t>
        </is>
      </c>
    </row>
    <row r="27">
      <c r="A27" s="7" t="inlineStr">
        <is>
          <t>Refresh cadence [PLANNING]</t>
        </is>
      </c>
      <c r="B27" s="7" t="inlineStr">
        <is>
          <t>Every 14 days</t>
        </is>
      </c>
      <c r="C27" s="8" t="inlineStr">
        <is>
          <t>Instagram audio trends decay in roughly two weeks. Re-run the audit fortnightly and swap the bottom five.</t>
        </is>
      </c>
    </row>
    <row r="29" ht="28" customHeight="1">
      <c r="A29" s="9" t="inlineStr">
        <is>
          <t>[FROM THE DATA] Ranking, view totals, post counts and mall/creator spread are computed from the 4,133-post + 1,848-collab audit. [PLANNING] The 'Pair with' and 'Read' columns are the creative judgement laid on top. Licensing note: trending commercial audio is available on organic Reels but NOT inside Meta Ads Manager — the workflow is post organically with the track, then boost that post, or whitelist a creator's post that already carries it.</t>
        </is>
      </c>
    </row>
  </sheetData>
  <mergeCells count="5">
    <mergeCell ref="A2:L2"/>
    <mergeCell ref="A29:L29"/>
    <mergeCell ref="A1:L1"/>
    <mergeCell ref="A22:L22"/>
    <mergeCell ref="A4:L4"/>
  </mergeCells>
  <pageMargins left="0.75" right="0.75" top="1" bottom="1" header="0.5" footer="0.5"/>
</worksheet>
</file>

<file path=xl/worksheets/sheet10.xml><?xml version="1.0" encoding="utf-8"?>
<worksheet xmlns="http://schemas.openxmlformats.org/spreadsheetml/2006/main">
  <sheetPr>
    <tabColor rgb="000E7490"/>
    <outlinePr summaryBelow="1" summaryRight="1"/>
    <pageSetUpPr/>
  </sheetPr>
  <dimension ref="A1:L67"/>
  <sheetViews>
    <sheetView workbookViewId="0">
      <selection activeCell="A1" sqref="A1"/>
    </sheetView>
  </sheetViews>
  <sheetFormatPr baseColWidth="8" defaultRowHeight="15"/>
  <cols>
    <col width="24" customWidth="1" min="1" max="1"/>
    <col width="120" customWidth="1" min="2" max="2"/>
    <col width="22" customWidth="1" min="3" max="3"/>
    <col width="50" customWidth="1" min="4" max="4"/>
    <col width="54" customWidth="1" min="5" max="5"/>
    <col width="72" customWidth="1" min="6" max="6"/>
    <col width="36" customWidth="1" min="7" max="7"/>
    <col width="26" customWidth="1" min="8" max="8"/>
    <col width="36" customWidth="1" min="9" max="9"/>
    <col width="52" customWidth="1" min="10" max="10"/>
  </cols>
  <sheetData>
    <row r="1" ht="30" customHeight="1">
      <c r="A1" s="48" t="inlineStr">
        <is>
          <t>9 · TENANT CO-OP AD MATCHING — ₹1:₹1 MATCHED-FUNDING FRAMEWORK</t>
        </is>
      </c>
    </row>
    <row r="2" ht="20" customHeight="1">
      <c r="A2" s="2" t="inlineStr">
        <is>
          <t>Co-op targets are ranked by evidence of demand: how often shoppers already name the brand in YouTube transcripts and Instagram captions, plus who is already buying mall-adjacent ads.</t>
        </is>
      </c>
    </row>
    <row r="4" ht="22" customHeight="1">
      <c r="A4" s="49" t="inlineStr">
        <is>
          <t>A · DEMAND-RANKED CO-OP TARGET LIST</t>
        </is>
      </c>
    </row>
    <row r="5" ht="34" customHeight="1">
      <c r="A5" s="50" t="inlineStr">
        <is>
          <t>Rank</t>
        </is>
      </c>
      <c r="B5" s="50" t="inlineStr">
        <is>
          <t>Tenant / brand</t>
        </is>
      </c>
      <c r="C5" s="50" t="inlineStr">
        <is>
          <t>Spoken mentions in YouTube transcripts</t>
        </is>
      </c>
      <c r="D5" s="50" t="inlineStr">
        <is>
          <t>Mentions in Instagram captions</t>
        </is>
      </c>
      <c r="E5" s="50" t="inlineStr">
        <is>
          <t>Malls where mentioned</t>
        </is>
      </c>
      <c r="F5" s="50" t="inlineStr">
        <is>
          <t>Demand signal</t>
        </is>
      </c>
      <c r="G5" s="50" t="inlineStr">
        <is>
          <t>Co-op model [PLANNING]</t>
        </is>
      </c>
      <c r="H5" s="50" t="inlineStr">
        <is>
          <t>Suggested monthly pool (₹) [PLANNING]</t>
        </is>
      </c>
      <c r="I5" s="50" t="inlineStr">
        <is>
          <t>Creative the brand supplies</t>
        </is>
      </c>
      <c r="J5" s="50" t="inlineStr">
        <is>
          <t>Creative Lake Shore supplies</t>
        </is>
      </c>
    </row>
    <row r="6">
      <c r="A6" s="5" t="n">
        <v>1</v>
      </c>
      <c r="B6" s="5" t="inlineStr">
        <is>
          <t>Only</t>
        </is>
      </c>
      <c r="C6" s="5" t="n">
        <v>0</v>
      </c>
      <c r="D6" s="5" t="n">
        <v>902</v>
      </c>
      <c r="E6" s="5" t="n">
        <v>12</v>
      </c>
      <c r="F6" s="6" t="inlineStr">
        <is>
          <t>High — repeatedly captioned</t>
        </is>
      </c>
      <c r="G6" s="5" t="inlineStr">
        <is>
          <t>₹1:₹1 matched, 12-week always-on</t>
        </is>
      </c>
      <c r="H6" s="5" t="n">
        <v>120000</v>
      </c>
      <c r="I6" s="6" t="inlineStr">
        <is>
          <t>Product hero, price point, offer terms</t>
        </is>
      </c>
      <c r="J6" s="6" t="inlineStr">
        <is>
          <t>Footfall background footage, creator whitelisting, geofence, valet/directions layer</t>
        </is>
      </c>
    </row>
    <row r="7">
      <c r="A7" s="7" t="n">
        <v>2</v>
      </c>
      <c r="B7" s="7" t="inlineStr">
        <is>
          <t>Lifestyle</t>
        </is>
      </c>
      <c r="C7" s="7" t="n">
        <v>0</v>
      </c>
      <c r="D7" s="7" t="n">
        <v>726</v>
      </c>
      <c r="E7" s="7" t="n">
        <v>12</v>
      </c>
      <c r="F7" s="8" t="inlineStr">
        <is>
          <t>High — repeatedly captioned</t>
        </is>
      </c>
      <c r="G7" s="7" t="inlineStr">
        <is>
          <t>₹1:₹1 matched, 12-week always-on</t>
        </is>
      </c>
      <c r="H7" s="7" t="n">
        <v>120000</v>
      </c>
      <c r="I7" s="8" t="inlineStr">
        <is>
          <t>Product hero, price point, offer terms</t>
        </is>
      </c>
      <c r="J7" s="8" t="inlineStr">
        <is>
          <t>Footfall background footage, creator whitelisting, geofence, valet/directions layer</t>
        </is>
      </c>
    </row>
    <row r="8">
      <c r="A8" s="5" t="n">
        <v>3</v>
      </c>
      <c r="B8" s="5" t="inlineStr">
        <is>
          <t>PVR</t>
        </is>
      </c>
      <c r="C8" s="5" t="n">
        <v>22</v>
      </c>
      <c r="D8" s="5" t="n">
        <v>76</v>
      </c>
      <c r="E8" s="5" t="n">
        <v>8</v>
      </c>
      <c r="F8" s="6" t="inlineStr">
        <is>
          <t>Very high — named in transcripts AND captions</t>
        </is>
      </c>
      <c r="G8" s="5" t="inlineStr">
        <is>
          <t>₹1:₹1 matched, 12-week always-on</t>
        </is>
      </c>
      <c r="H8" s="5" t="n">
        <v>120000</v>
      </c>
      <c r="I8" s="6" t="inlineStr">
        <is>
          <t>Product hero, price point, offer terms</t>
        </is>
      </c>
      <c r="J8" s="6" t="inlineStr">
        <is>
          <t>Footfall background footage, creator whitelisting, geofence, valet/directions layer</t>
        </is>
      </c>
    </row>
    <row r="9">
      <c r="A9" s="7" t="n">
        <v>4</v>
      </c>
      <c r="B9" s="7" t="inlineStr">
        <is>
          <t>Apple</t>
        </is>
      </c>
      <c r="C9" s="7" t="n">
        <v>11</v>
      </c>
      <c r="D9" s="7" t="n">
        <v>48</v>
      </c>
      <c r="E9" s="7" t="n">
        <v>8</v>
      </c>
      <c r="F9" s="8" t="inlineStr">
        <is>
          <t>Very high — named in transcripts AND captions</t>
        </is>
      </c>
      <c r="G9" s="7" t="inlineStr">
        <is>
          <t>₹1:₹1 matched, 12-week always-on</t>
        </is>
      </c>
      <c r="H9" s="7" t="n">
        <v>120000</v>
      </c>
      <c r="I9" s="8" t="inlineStr">
        <is>
          <t>Product hero, price point, offer terms</t>
        </is>
      </c>
      <c r="J9" s="8" t="inlineStr">
        <is>
          <t>Footfall background footage, creator whitelisting, geofence, valet/directions layer</t>
        </is>
      </c>
    </row>
    <row r="10">
      <c r="A10" s="5" t="n">
        <v>5</v>
      </c>
      <c r="B10" s="5" t="inlineStr">
        <is>
          <t>Timezone</t>
        </is>
      </c>
      <c r="C10" s="5" t="n">
        <v>0</v>
      </c>
      <c r="D10" s="5" t="n">
        <v>69</v>
      </c>
      <c r="E10" s="5" t="n">
        <v>5</v>
      </c>
      <c r="F10" s="6" t="inlineStr">
        <is>
          <t>High — repeatedly captioned</t>
        </is>
      </c>
      <c r="G10" s="5" t="inlineStr">
        <is>
          <t>₹1:₹1 matched, 12-week always-on</t>
        </is>
      </c>
      <c r="H10" s="5" t="n">
        <v>120000</v>
      </c>
      <c r="I10" s="6" t="inlineStr">
        <is>
          <t>Product hero, price point, offer terms</t>
        </is>
      </c>
      <c r="J10" s="6" t="inlineStr">
        <is>
          <t>Footfall background footage, creator whitelisting, geofence, valet/directions layer</t>
        </is>
      </c>
    </row>
    <row r="11">
      <c r="A11" s="7" t="n">
        <v>6</v>
      </c>
      <c r="B11" s="7" t="inlineStr">
        <is>
          <t>INOX</t>
        </is>
      </c>
      <c r="C11" s="7" t="n">
        <v>0</v>
      </c>
      <c r="D11" s="7" t="n">
        <v>54</v>
      </c>
      <c r="E11" s="7" t="n">
        <v>6</v>
      </c>
      <c r="F11" s="8" t="inlineStr">
        <is>
          <t>High — repeatedly captioned</t>
        </is>
      </c>
      <c r="G11" s="7" t="inlineStr">
        <is>
          <t>₹1:₹1 matched, 12-week always-on</t>
        </is>
      </c>
      <c r="H11" s="7" t="n">
        <v>120000</v>
      </c>
      <c r="I11" s="8" t="inlineStr">
        <is>
          <t>Product hero, price point, offer terms</t>
        </is>
      </c>
      <c r="J11" s="8" t="inlineStr">
        <is>
          <t>Footfall background footage, creator whitelisting, geofence, valet/directions layer</t>
        </is>
      </c>
    </row>
    <row r="12">
      <c r="A12" s="5" t="n">
        <v>7</v>
      </c>
      <c r="B12" s="5" t="inlineStr">
        <is>
          <t>Hamleys</t>
        </is>
      </c>
      <c r="C12" s="5" t="n">
        <v>1</v>
      </c>
      <c r="D12" s="5" t="n">
        <v>51</v>
      </c>
      <c r="E12" s="5" t="n">
        <v>7</v>
      </c>
      <c r="F12" s="6" t="inlineStr">
        <is>
          <t>High — repeatedly captioned</t>
        </is>
      </c>
      <c r="G12" s="5" t="inlineStr">
        <is>
          <t>₹1:₹1 matched, 12-week always-on</t>
        </is>
      </c>
      <c r="H12" s="5" t="n">
        <v>120000</v>
      </c>
      <c r="I12" s="6" t="inlineStr">
        <is>
          <t>Product hero, price point, offer terms</t>
        </is>
      </c>
      <c r="J12" s="6" t="inlineStr">
        <is>
          <t>Footfall background footage, creator whitelisting, geofence, valet/directions layer</t>
        </is>
      </c>
    </row>
    <row r="13">
      <c r="A13" s="7" t="n">
        <v>8</v>
      </c>
      <c r="B13" s="7" t="inlineStr">
        <is>
          <t>H&amp;M</t>
        </is>
      </c>
      <c r="C13" s="7" t="n">
        <v>7</v>
      </c>
      <c r="D13" s="7" t="n">
        <v>29</v>
      </c>
      <c r="E13" s="7" t="n">
        <v>6</v>
      </c>
      <c r="F13" s="8" t="inlineStr">
        <is>
          <t>Very high — named in transcripts AND captions</t>
        </is>
      </c>
      <c r="G13" s="7" t="inlineStr">
        <is>
          <t>₹1:₹1 matched, 12-week always-on</t>
        </is>
      </c>
      <c r="H13" s="7" t="n">
        <v>120000</v>
      </c>
      <c r="I13" s="8" t="inlineStr">
        <is>
          <t>Product hero, price point, offer terms</t>
        </is>
      </c>
      <c r="J13" s="8" t="inlineStr">
        <is>
          <t>Footfall background footage, creator whitelisting, geofence, valet/directions layer</t>
        </is>
      </c>
    </row>
    <row r="14">
      <c r="A14" s="5" t="n">
        <v>9</v>
      </c>
      <c r="B14" s="5" t="inlineStr">
        <is>
          <t>Zara</t>
        </is>
      </c>
      <c r="C14" s="5" t="n">
        <v>6</v>
      </c>
      <c r="D14" s="5" t="n">
        <v>31</v>
      </c>
      <c r="E14" s="5" t="n">
        <v>3</v>
      </c>
      <c r="F14" s="6" t="inlineStr">
        <is>
          <t>Very high — named in transcripts AND captions</t>
        </is>
      </c>
      <c r="G14" s="5" t="inlineStr">
        <is>
          <t>₹1:₹1 matched, 12-week always-on</t>
        </is>
      </c>
      <c r="H14" s="5" t="n">
        <v>120000</v>
      </c>
      <c r="I14" s="6" t="inlineStr">
        <is>
          <t>Product hero, price point, offer terms</t>
        </is>
      </c>
      <c r="J14" s="6" t="inlineStr">
        <is>
          <t>Footfall background footage, creator whitelisting, geofence, valet/directions layer</t>
        </is>
      </c>
    </row>
    <row r="15">
      <c r="A15" s="7" t="n">
        <v>10</v>
      </c>
      <c r="B15" s="7" t="inlineStr">
        <is>
          <t>Pantaloons</t>
        </is>
      </c>
      <c r="C15" s="7" t="n">
        <v>2</v>
      </c>
      <c r="D15" s="7" t="n">
        <v>39</v>
      </c>
      <c r="E15" s="7" t="n">
        <v>5</v>
      </c>
      <c r="F15" s="8" t="inlineStr">
        <is>
          <t>High — repeatedly captioned</t>
        </is>
      </c>
      <c r="G15" s="7" t="inlineStr">
        <is>
          <t>₹1:₹1 matched, 12-week always-on</t>
        </is>
      </c>
      <c r="H15" s="7" t="n">
        <v>120000</v>
      </c>
      <c r="I15" s="8" t="inlineStr">
        <is>
          <t>Product hero, price point, offer terms</t>
        </is>
      </c>
      <c r="J15" s="8" t="inlineStr">
        <is>
          <t>Footfall background footage, creator whitelisting, geofence, valet/directions layer</t>
        </is>
      </c>
    </row>
    <row r="16">
      <c r="A16" s="5" t="n">
        <v>11</v>
      </c>
      <c r="B16" s="5" t="inlineStr">
        <is>
          <t>Nykaa</t>
        </is>
      </c>
      <c r="C16" s="5" t="n">
        <v>0</v>
      </c>
      <c r="D16" s="5" t="n">
        <v>44</v>
      </c>
      <c r="E16" s="5" t="n">
        <v>8</v>
      </c>
      <c r="F16" s="6" t="inlineStr">
        <is>
          <t>High — repeatedly captioned</t>
        </is>
      </c>
      <c r="G16" s="5" t="inlineStr">
        <is>
          <t>₹1:₹1 matched, 12-week always-on</t>
        </is>
      </c>
      <c r="H16" s="5" t="n">
        <v>120000</v>
      </c>
      <c r="I16" s="6" t="inlineStr">
        <is>
          <t>Product hero, price point, offer terms</t>
        </is>
      </c>
      <c r="J16" s="6" t="inlineStr">
        <is>
          <t>Footfall background footage, creator whitelisting, geofence, valet/directions layer</t>
        </is>
      </c>
    </row>
    <row r="17">
      <c r="A17" s="7" t="n">
        <v>12</v>
      </c>
      <c r="B17" s="7" t="inlineStr">
        <is>
          <t>Shoppers Stop</t>
        </is>
      </c>
      <c r="C17" s="7" t="n">
        <v>0</v>
      </c>
      <c r="D17" s="7" t="n">
        <v>36</v>
      </c>
      <c r="E17" s="7" t="n">
        <v>6</v>
      </c>
      <c r="F17" s="8" t="inlineStr">
        <is>
          <t>High — repeatedly captioned</t>
        </is>
      </c>
      <c r="G17" s="7" t="inlineStr">
        <is>
          <t>₹1:₹1 matched, 12-week always-on</t>
        </is>
      </c>
      <c r="H17" s="7" t="n">
        <v>120000</v>
      </c>
      <c r="I17" s="8" t="inlineStr">
        <is>
          <t>Product hero, price point, offer terms</t>
        </is>
      </c>
      <c r="J17" s="8" t="inlineStr">
        <is>
          <t>Footfall background footage, creator whitelisting, geofence, valet/directions layer</t>
        </is>
      </c>
    </row>
    <row r="18">
      <c r="A18" s="5" t="n">
        <v>13</v>
      </c>
      <c r="B18" s="5" t="inlineStr">
        <is>
          <t>Aldo</t>
        </is>
      </c>
      <c r="C18" s="5" t="n">
        <v>0</v>
      </c>
      <c r="D18" s="5" t="n">
        <v>36</v>
      </c>
      <c r="E18" s="5" t="n">
        <v>7</v>
      </c>
      <c r="F18" s="6" t="inlineStr">
        <is>
          <t>High — repeatedly captioned</t>
        </is>
      </c>
      <c r="G18" s="5" t="inlineStr">
        <is>
          <t>₹1:₹1 matched, 12-week always-on</t>
        </is>
      </c>
      <c r="H18" s="5" t="n">
        <v>120000</v>
      </c>
      <c r="I18" s="6" t="inlineStr">
        <is>
          <t>Product hero, price point, offer terms</t>
        </is>
      </c>
      <c r="J18" s="6" t="inlineStr">
        <is>
          <t>Footfall background footage, creator whitelisting, geofence, valet/directions layer</t>
        </is>
      </c>
    </row>
    <row r="19">
      <c r="A19" s="7" t="n">
        <v>14</v>
      </c>
      <c r="B19" s="7" t="inlineStr">
        <is>
          <t>MAC</t>
        </is>
      </c>
      <c r="C19" s="7" t="n">
        <v>0</v>
      </c>
      <c r="D19" s="7" t="n">
        <v>35</v>
      </c>
      <c r="E19" s="7" t="n">
        <v>11</v>
      </c>
      <c r="F19" s="8" t="inlineStr">
        <is>
          <t>High — repeatedly captioned</t>
        </is>
      </c>
      <c r="G19" s="7" t="inlineStr">
        <is>
          <t>₹1:₹1 matched, 12-week always-on</t>
        </is>
      </c>
      <c r="H19" s="7" t="n">
        <v>120000</v>
      </c>
      <c r="I19" s="8" t="inlineStr">
        <is>
          <t>Product hero, price point, offer terms</t>
        </is>
      </c>
      <c r="J19" s="8" t="inlineStr">
        <is>
          <t>Footfall background footage, creator whitelisting, geofence, valet/directions layer</t>
        </is>
      </c>
    </row>
    <row r="20">
      <c r="A20" s="5" t="n">
        <v>15</v>
      </c>
      <c r="B20" s="5" t="inlineStr">
        <is>
          <t>Armani</t>
        </is>
      </c>
      <c r="C20" s="5" t="n">
        <v>1</v>
      </c>
      <c r="D20" s="5" t="n">
        <v>32</v>
      </c>
      <c r="E20" s="5" t="n">
        <v>6</v>
      </c>
      <c r="F20" s="6" t="inlineStr">
        <is>
          <t>High — repeatedly captioned</t>
        </is>
      </c>
      <c r="G20" s="5" t="inlineStr">
        <is>
          <t>₹1:₹1 matched, 12-week always-on</t>
        </is>
      </c>
      <c r="H20" s="5" t="n">
        <v>120000</v>
      </c>
      <c r="I20" s="6" t="inlineStr">
        <is>
          <t>Product hero, price point, offer terms</t>
        </is>
      </c>
      <c r="J20" s="6" t="inlineStr">
        <is>
          <t>Footfall background footage, creator whitelisting, geofence, valet/directions layer</t>
        </is>
      </c>
    </row>
    <row r="21">
      <c r="A21" s="7" t="n">
        <v>16</v>
      </c>
      <c r="B21" s="7" t="inlineStr">
        <is>
          <t>Social</t>
        </is>
      </c>
      <c r="C21" s="7" t="n">
        <v>0</v>
      </c>
      <c r="D21" s="7" t="n">
        <v>34</v>
      </c>
      <c r="E21" s="7" t="n">
        <v>4</v>
      </c>
      <c r="F21" s="8" t="inlineStr">
        <is>
          <t>High — repeatedly captioned</t>
        </is>
      </c>
      <c r="G21" s="7" t="inlineStr">
        <is>
          <t>₹1:₹1 matched, 12-week always-on</t>
        </is>
      </c>
      <c r="H21" s="7" t="n">
        <v>120000</v>
      </c>
      <c r="I21" s="8" t="inlineStr">
        <is>
          <t>Product hero, price point, offer terms</t>
        </is>
      </c>
      <c r="J21" s="8" t="inlineStr">
        <is>
          <t>Footfall background footage, creator whitelisting, geofence, valet/directions layer</t>
        </is>
      </c>
    </row>
    <row r="22">
      <c r="A22" s="5" t="n">
        <v>17</v>
      </c>
      <c r="B22" s="5" t="inlineStr">
        <is>
          <t>Sephora</t>
        </is>
      </c>
      <c r="C22" s="5" t="n">
        <v>4</v>
      </c>
      <c r="D22" s="5" t="n">
        <v>22</v>
      </c>
      <c r="E22" s="5" t="n">
        <v>5</v>
      </c>
      <c r="F22" s="6" t="inlineStr">
        <is>
          <t>Very high — named in transcripts AND captions</t>
        </is>
      </c>
      <c r="G22" s="5" t="inlineStr">
        <is>
          <t>₹1:₹1 matched, 12-week always-on</t>
        </is>
      </c>
      <c r="H22" s="5" t="n">
        <v>120000</v>
      </c>
      <c r="I22" s="6" t="inlineStr">
        <is>
          <t>Product hero, price point, offer terms</t>
        </is>
      </c>
      <c r="J22" s="6" t="inlineStr">
        <is>
          <t>Footfall background footage, creator whitelisting, geofence, valet/directions layer</t>
        </is>
      </c>
    </row>
    <row r="23">
      <c r="A23" s="7" t="n">
        <v>18</v>
      </c>
      <c r="B23" s="7" t="inlineStr">
        <is>
          <t>Samsung</t>
        </is>
      </c>
      <c r="C23" s="7" t="n">
        <v>0</v>
      </c>
      <c r="D23" s="7" t="n">
        <v>34</v>
      </c>
      <c r="E23" s="7" t="n">
        <v>5</v>
      </c>
      <c r="F23" s="8" t="inlineStr">
        <is>
          <t>High — repeatedly captioned</t>
        </is>
      </c>
      <c r="G23" s="7" t="inlineStr">
        <is>
          <t>₹1:₹1 matched, 12-week always-on</t>
        </is>
      </c>
      <c r="H23" s="7" t="n">
        <v>120000</v>
      </c>
      <c r="I23" s="8" t="inlineStr">
        <is>
          <t>Product hero, price point, offer terms</t>
        </is>
      </c>
      <c r="J23" s="8" t="inlineStr">
        <is>
          <t>Footfall background footage, creator whitelisting, geofence, valet/directions layer</t>
        </is>
      </c>
    </row>
    <row r="24">
      <c r="A24" s="5" t="n">
        <v>19</v>
      </c>
      <c r="B24" s="5" t="inlineStr">
        <is>
          <t>Uniqlo</t>
        </is>
      </c>
      <c r="C24" s="5" t="n">
        <v>1</v>
      </c>
      <c r="D24" s="5" t="n">
        <v>28</v>
      </c>
      <c r="E24" s="5" t="n">
        <v>2</v>
      </c>
      <c r="F24" s="6" t="inlineStr">
        <is>
          <t>High — repeatedly captioned</t>
        </is>
      </c>
      <c r="G24" s="5" t="inlineStr">
        <is>
          <t>₹1:₹1 matched, 12-week always-on</t>
        </is>
      </c>
      <c r="H24" s="5" t="n">
        <v>120000</v>
      </c>
      <c r="I24" s="6" t="inlineStr">
        <is>
          <t>Product hero, price point, offer terms</t>
        </is>
      </c>
      <c r="J24" s="6" t="inlineStr">
        <is>
          <t>Footfall background footage, creator whitelisting, geofence, valet/directions layer</t>
        </is>
      </c>
    </row>
    <row r="25">
      <c r="A25" s="7" t="n">
        <v>20</v>
      </c>
      <c r="B25" s="7" t="inlineStr">
        <is>
          <t>Miniso</t>
        </is>
      </c>
      <c r="C25" s="7" t="n">
        <v>0</v>
      </c>
      <c r="D25" s="7" t="n">
        <v>30</v>
      </c>
      <c r="E25" s="7" t="n">
        <v>4</v>
      </c>
      <c r="F25" s="8" t="inlineStr">
        <is>
          <t>High — repeatedly captioned</t>
        </is>
      </c>
      <c r="G25" s="7" t="inlineStr">
        <is>
          <t>₹1:₹1 matched, 12-week always-on</t>
        </is>
      </c>
      <c r="H25" s="7" t="n">
        <v>120000</v>
      </c>
      <c r="I25" s="8" t="inlineStr">
        <is>
          <t>Product hero, price point, offer terms</t>
        </is>
      </c>
      <c r="J25" s="8" t="inlineStr">
        <is>
          <t>Footfall background footage, creator whitelisting, geofence, valet/directions layer</t>
        </is>
      </c>
    </row>
    <row r="26">
      <c r="A26" s="5" t="n">
        <v>21</v>
      </c>
      <c r="B26" s="5" t="inlineStr">
        <is>
          <t>Starbucks</t>
        </is>
      </c>
      <c r="C26" s="5" t="n">
        <v>2</v>
      </c>
      <c r="D26" s="5" t="n">
        <v>21</v>
      </c>
      <c r="E26" s="5" t="n">
        <v>6</v>
      </c>
      <c r="F26" s="6" t="inlineStr">
        <is>
          <t>High — repeatedly captioned</t>
        </is>
      </c>
      <c r="G26" s="5" t="inlineStr">
        <is>
          <t>₹1:₹1 matched, 12-week always-on</t>
        </is>
      </c>
      <c r="H26" s="5" t="n">
        <v>120000</v>
      </c>
      <c r="I26" s="6" t="inlineStr">
        <is>
          <t>Product hero, price point, offer terms</t>
        </is>
      </c>
      <c r="J26" s="6" t="inlineStr">
        <is>
          <t>Footfall background footage, creator whitelisting, geofence, valet/directions layer</t>
        </is>
      </c>
    </row>
    <row r="27">
      <c r="A27" s="7" t="n">
        <v>22</v>
      </c>
      <c r="B27" s="7" t="inlineStr">
        <is>
          <t>Punjab Grill</t>
        </is>
      </c>
      <c r="C27" s="7" t="n">
        <v>0</v>
      </c>
      <c r="D27" s="7" t="n">
        <v>27</v>
      </c>
      <c r="E27" s="7" t="n">
        <v>4</v>
      </c>
      <c r="F27" s="8" t="inlineStr">
        <is>
          <t>High — repeatedly captioned</t>
        </is>
      </c>
      <c r="G27" s="7" t="inlineStr">
        <is>
          <t>₹1:₹1 matched, 12-week always-on</t>
        </is>
      </c>
      <c r="H27" s="7" t="n">
        <v>120000</v>
      </c>
      <c r="I27" s="8" t="inlineStr">
        <is>
          <t>Product hero, price point, offer terms</t>
        </is>
      </c>
      <c r="J27" s="8" t="inlineStr">
        <is>
          <t>Footfall background footage, creator whitelisting, geofence, valet/directions layer</t>
        </is>
      </c>
    </row>
    <row r="28">
      <c r="A28" s="5" t="n">
        <v>23</v>
      </c>
      <c r="B28" s="5" t="inlineStr">
        <is>
          <t>Nike</t>
        </is>
      </c>
      <c r="C28" s="5" t="n">
        <v>0</v>
      </c>
      <c r="D28" s="5" t="n">
        <v>26</v>
      </c>
      <c r="E28" s="5" t="n">
        <v>4</v>
      </c>
      <c r="F28" s="6" t="inlineStr">
        <is>
          <t>High — repeatedly captioned</t>
        </is>
      </c>
      <c r="G28" s="5" t="inlineStr">
        <is>
          <t>₹1:₹1 matched, 12-week always-on</t>
        </is>
      </c>
      <c r="H28" s="5" t="n">
        <v>120000</v>
      </c>
      <c r="I28" s="6" t="inlineStr">
        <is>
          <t>Product hero, price point, offer terms</t>
        </is>
      </c>
      <c r="J28" s="6" t="inlineStr">
        <is>
          <t>Footfall background footage, creator whitelisting, geofence, valet/directions layer</t>
        </is>
      </c>
    </row>
    <row r="29">
      <c r="A29" s="7" t="n">
        <v>24</v>
      </c>
      <c r="B29" s="7" t="inlineStr">
        <is>
          <t>Superdry</t>
        </is>
      </c>
      <c r="C29" s="7" t="n">
        <v>0</v>
      </c>
      <c r="D29" s="7" t="n">
        <v>25</v>
      </c>
      <c r="E29" s="7" t="n">
        <v>7</v>
      </c>
      <c r="F29" s="8" t="inlineStr">
        <is>
          <t>High — repeatedly captioned</t>
        </is>
      </c>
      <c r="G29" s="7" t="inlineStr">
        <is>
          <t>₹1:₹1 matched, 12-week always-on</t>
        </is>
      </c>
      <c r="H29" s="7" t="n">
        <v>120000</v>
      </c>
      <c r="I29" s="8" t="inlineStr">
        <is>
          <t>Product hero, price point, offer terms</t>
        </is>
      </c>
      <c r="J29" s="8" t="inlineStr">
        <is>
          <t>Footfall background footage, creator whitelisting, geofence, valet/directions layer</t>
        </is>
      </c>
    </row>
    <row r="30">
      <c r="A30" s="5" t="n">
        <v>25</v>
      </c>
      <c r="B30" s="5" t="inlineStr">
        <is>
          <t>Lulu Hypermarket</t>
        </is>
      </c>
      <c r="C30" s="5" t="n">
        <v>7</v>
      </c>
      <c r="D30" s="5" t="n">
        <v>4</v>
      </c>
      <c r="E30" s="5" t="n">
        <v>1</v>
      </c>
      <c r="F30" s="6" t="inlineStr">
        <is>
          <t>Very high — named in transcripts AND captions</t>
        </is>
      </c>
      <c r="G30" s="5" t="inlineStr">
        <is>
          <t>₹1:₹1 matched, 12-week always-on</t>
        </is>
      </c>
      <c r="H30" s="5" t="n">
        <v>120000</v>
      </c>
      <c r="I30" s="6" t="inlineStr">
        <is>
          <t>Product hero, price point, offer terms</t>
        </is>
      </c>
      <c r="J30" s="6" t="inlineStr">
        <is>
          <t>Footfall background footage, creator whitelisting, geofence, valet/directions layer</t>
        </is>
      </c>
    </row>
    <row r="31">
      <c r="A31" s="7" t="n">
        <v>26</v>
      </c>
      <c r="B31" s="7" t="inlineStr">
        <is>
          <t>Adidas</t>
        </is>
      </c>
      <c r="C31" s="7" t="n">
        <v>0</v>
      </c>
      <c r="D31" s="7" t="n">
        <v>20</v>
      </c>
      <c r="E31" s="7" t="n">
        <v>8</v>
      </c>
      <c r="F31" s="8" t="inlineStr">
        <is>
          <t>High — repeatedly captioned</t>
        </is>
      </c>
      <c r="G31" s="7" t="inlineStr">
        <is>
          <t>₹1:₹1 matched, 12-week always-on</t>
        </is>
      </c>
      <c r="H31" s="7" t="n">
        <v>120000</v>
      </c>
      <c r="I31" s="8" t="inlineStr">
        <is>
          <t>Product hero, price point, offer terms</t>
        </is>
      </c>
      <c r="J31" s="8" t="inlineStr">
        <is>
          <t>Footfall background footage, creator whitelisting, geofence, valet/directions layer</t>
        </is>
      </c>
    </row>
    <row r="33" ht="22" customHeight="1">
      <c r="A33" s="49" t="inlineStr">
        <is>
          <t>B · BRANDS ALREADY BUYING MALL-ADJACENT INVENTORY (from the 425-ad scrape)</t>
        </is>
      </c>
    </row>
    <row r="34" ht="34" customHeight="1">
      <c r="A34" s="50" t="inlineStr">
        <is>
          <t>Advertiser</t>
        </is>
      </c>
      <c r="B34" s="50" t="inlineStr">
        <is>
          <t>Ads live</t>
        </is>
      </c>
      <c r="C34" s="50" t="inlineStr">
        <is>
          <t>Advertiser type</t>
        </is>
      </c>
      <c r="D34" s="50" t="inlineStr">
        <is>
          <t>Catchments they target</t>
        </is>
      </c>
      <c r="E34" s="50" t="inlineStr">
        <is>
          <t>What it tells you</t>
        </is>
      </c>
      <c r="F34" s="50" t="inlineStr">
        <is>
          <t>Approach</t>
        </is>
      </c>
    </row>
    <row r="35">
      <c r="A35" s="5" t="inlineStr">
        <is>
          <t>Broadway Live</t>
        </is>
      </c>
      <c r="B35" s="5" t="n">
        <v>25</v>
      </c>
      <c r="C35" s="5" t="inlineStr">
        <is>
          <t>Tenant / Retail Brand (Co-Op Candidate)</t>
        </is>
      </c>
      <c r="D35" s="6" t="inlineStr">
        <is>
          <t>KOPA Mall Pune</t>
        </is>
      </c>
      <c r="E35" s="6" t="inlineStr">
        <is>
          <t>Already spending against mall intent — the easiest co-op yes in the deck.</t>
        </is>
      </c>
      <c r="F35" s="6" t="inlineStr">
        <is>
          <t>Lead the co-op pitch with this brand. They have proven budget and proven intent.</t>
        </is>
      </c>
    </row>
    <row r="36">
      <c r="A36" s="7" t="inlineStr">
        <is>
          <t>Sukhwani Skylines</t>
        </is>
      </c>
      <c r="B36" s="7" t="n">
        <v>16</v>
      </c>
      <c r="C36" s="7" t="inlineStr">
        <is>
          <t>Real Estate Developer (Location-Piggyback)</t>
        </is>
      </c>
      <c r="D36" s="8" t="inlineStr">
        <is>
          <t>Phoenix Mall of the Millennium Wakad</t>
        </is>
      </c>
      <c r="E36" s="8" t="inlineStr">
        <is>
          <t>Using mall names purely as a location proxy to sell homes.</t>
        </is>
      </c>
      <c r="F36" s="8" t="inlineStr">
        <is>
          <t>Not a co-op partner — a Cost per 1,000 impressions competitor. Avoid their keyword set; out-flank on friction terms.</t>
        </is>
      </c>
    </row>
    <row r="37">
      <c r="A37" s="5" t="inlineStr">
        <is>
          <t>Hyderabad Luxury Properties</t>
        </is>
      </c>
      <c r="B37" s="5" t="n">
        <v>16</v>
      </c>
      <c r="C37" s="5" t="inlineStr">
        <is>
          <t>Real Estate Developer (Location-Piggyback)</t>
        </is>
      </c>
      <c r="D37" s="6" t="inlineStr">
        <is>
          <t>Inorbit Mall Cyberabad, Lulu Mall Hyderabad</t>
        </is>
      </c>
      <c r="E37" s="6" t="inlineStr">
        <is>
          <t>Using mall names purely as a location proxy to sell homes.</t>
        </is>
      </c>
      <c r="F37" s="6" t="inlineStr">
        <is>
          <t>Not a co-op partner — a Cost per 1,000 impressions competitor. Avoid their keyword set; out-flank on friction terms.</t>
        </is>
      </c>
    </row>
    <row r="38">
      <c r="A38" s="7" t="inlineStr">
        <is>
          <t>57 Elevate</t>
        </is>
      </c>
      <c r="B38" s="7" t="n">
        <v>14</v>
      </c>
      <c r="C38" s="7" t="inlineStr">
        <is>
          <t>Real Estate Developer (Location-Piggyback)</t>
        </is>
      </c>
      <c r="D38" s="8" t="inlineStr">
        <is>
          <t>Phoenix Mall of the Millennium Wakad</t>
        </is>
      </c>
      <c r="E38" s="8" t="inlineStr">
        <is>
          <t>Using mall names purely as a location proxy to sell homes.</t>
        </is>
      </c>
      <c r="F38" s="8" t="inlineStr">
        <is>
          <t>Not a co-op partner — a Cost per 1,000 impressions competitor. Avoid their keyword set; out-flank on friction terms.</t>
        </is>
      </c>
    </row>
    <row r="39">
      <c r="A39" s="5" t="inlineStr">
        <is>
          <t>Ivana Jewels</t>
        </is>
      </c>
      <c r="B39" s="5" t="n">
        <v>14</v>
      </c>
      <c r="C39" s="5" t="inlineStr">
        <is>
          <t>Other Advertiser (Event / Service / Direct-to-Consumer)</t>
        </is>
      </c>
      <c r="D39" s="6" t="inlineStr">
        <is>
          <t>Amanora Mall Pune, KOPA Mall Pune</t>
        </is>
      </c>
      <c r="E39" s="6" t="inlineStr">
        <is>
          <t>Event, service or direct-to-consumer brand buying local mall-adjacent reach.</t>
        </is>
      </c>
      <c r="F39" s="6" t="inlineStr">
        <is>
          <t>Candidate for an event or activation co-op rather than a retail co-op.</t>
        </is>
      </c>
    </row>
    <row r="40">
      <c r="A40" s="7" t="inlineStr">
        <is>
          <t>Samsung</t>
        </is>
      </c>
      <c r="B40" s="7" t="n">
        <v>11</v>
      </c>
      <c r="C40" s="7" t="inlineStr">
        <is>
          <t>Other Advertiser (Event / Service / Direct-to-Consumer)</t>
        </is>
      </c>
      <c r="D40" s="8" t="inlineStr">
        <is>
          <t>Inorbit Mall Cyberabad, KOPA Mall Pune, Phoenix Mall of the Millennium Wakad, Phoenix Marketcity Pune</t>
        </is>
      </c>
      <c r="E40" s="8" t="inlineStr">
        <is>
          <t>Event, service or direct-to-consumer brand buying local mall-adjacent reach.</t>
        </is>
      </c>
      <c r="F40" s="8" t="inlineStr">
        <is>
          <t>Candidate for an event or activation co-op rather than a retail co-op.</t>
        </is>
      </c>
    </row>
    <row r="41">
      <c r="A41" s="5" t="inlineStr">
        <is>
          <t>Top Launch Properties in Hyderabad</t>
        </is>
      </c>
      <c r="B41" s="5" t="n">
        <v>11</v>
      </c>
      <c r="C41" s="5" t="inlineStr">
        <is>
          <t>Real Estate Developer (Location-Piggyback)</t>
        </is>
      </c>
      <c r="D41" s="6" t="inlineStr">
        <is>
          <t>Inorbit Mall Cyberabad, Sarath City Capital Mall</t>
        </is>
      </c>
      <c r="E41" s="6" t="inlineStr">
        <is>
          <t>Using mall names purely as a location proxy to sell homes.</t>
        </is>
      </c>
      <c r="F41" s="6" t="inlineStr">
        <is>
          <t>Not a co-op partner — a Cost per 1,000 impressions competitor. Avoid their keyword set; out-flank on friction terms.</t>
        </is>
      </c>
    </row>
    <row r="42">
      <c r="A42" s="7" t="inlineStr">
        <is>
          <t>Pristine Developers</t>
        </is>
      </c>
      <c r="B42" s="7" t="n">
        <v>8</v>
      </c>
      <c r="C42" s="7" t="inlineStr">
        <is>
          <t>Real Estate Developer (Location-Piggyback)</t>
        </is>
      </c>
      <c r="D42" s="8" t="inlineStr">
        <is>
          <t>KOPA Mall Pune</t>
        </is>
      </c>
      <c r="E42" s="8" t="inlineStr">
        <is>
          <t>Using mall names purely as a location proxy to sell homes.</t>
        </is>
      </c>
      <c r="F42" s="8" t="inlineStr">
        <is>
          <t>Not a co-op partner — a Cost per 1,000 impressions competitor. Avoid their keyword set; out-flank on friction terms.</t>
        </is>
      </c>
    </row>
    <row r="43">
      <c r="A43" s="5" t="inlineStr">
        <is>
          <t>Godrej Kukatpally, New Launch, Hyderabad</t>
        </is>
      </c>
      <c r="B43" s="5" t="n">
        <v>8</v>
      </c>
      <c r="C43" s="5" t="inlineStr">
        <is>
          <t>Real Estate Developer (Location-Piggyback)</t>
        </is>
      </c>
      <c r="D43" s="6" t="inlineStr">
        <is>
          <t>Nexus Hyderabad Mall</t>
        </is>
      </c>
      <c r="E43" s="6" t="inlineStr">
        <is>
          <t>Using mall names purely as a location proxy to sell homes.</t>
        </is>
      </c>
      <c r="F43" s="6" t="inlineStr">
        <is>
          <t>Not a co-op partner — a Cost per 1,000 impressions competitor. Avoid their keyword set; out-flank on friction terms.</t>
        </is>
      </c>
    </row>
    <row r="44">
      <c r="A44" s="7" t="inlineStr">
        <is>
          <t>Rohan Builders India</t>
        </is>
      </c>
      <c r="B44" s="7" t="n">
        <v>7</v>
      </c>
      <c r="C44" s="7" t="inlineStr">
        <is>
          <t>Real Estate Developer (Location-Piggyback)</t>
        </is>
      </c>
      <c r="D44" s="8" t="inlineStr">
        <is>
          <t>Phoenix Marketcity Pune</t>
        </is>
      </c>
      <c r="E44" s="8" t="inlineStr">
        <is>
          <t>Using mall names purely as a location proxy to sell homes.</t>
        </is>
      </c>
      <c r="F44" s="8" t="inlineStr">
        <is>
          <t>Not a co-op partner — a Cost per 1,000 impressions competitor. Avoid their keyword set; out-flank on friction terms.</t>
        </is>
      </c>
    </row>
    <row r="45">
      <c r="A45" s="5" t="inlineStr">
        <is>
          <t>Gusto Cafe Pune</t>
        </is>
      </c>
      <c r="B45" s="5" t="n">
        <v>6</v>
      </c>
      <c r="C45" s="5" t="inlineStr">
        <is>
          <t>Other Advertiser (Event / Service / Direct-to-Consumer)</t>
        </is>
      </c>
      <c r="D45" s="6" t="inlineStr">
        <is>
          <t>The Pavillion Pune</t>
        </is>
      </c>
      <c r="E45" s="6" t="inlineStr">
        <is>
          <t>Event, service or direct-to-consumer brand buying local mall-adjacent reach.</t>
        </is>
      </c>
      <c r="F45" s="6" t="inlineStr">
        <is>
          <t>Candidate for an event or activation co-op rather than a retail co-op.</t>
        </is>
      </c>
    </row>
    <row r="46">
      <c r="A46" s="7" t="inlineStr">
        <is>
          <t>Shapoorji Pallonji Real Estate</t>
        </is>
      </c>
      <c r="B46" s="7" t="n">
        <v>6</v>
      </c>
      <c r="C46" s="7" t="inlineStr">
        <is>
          <t>Real Estate Developer (Location-Piggyback)</t>
        </is>
      </c>
      <c r="D46" s="8" t="inlineStr">
        <is>
          <t>Seasons Mall Pune</t>
        </is>
      </c>
      <c r="E46" s="8" t="inlineStr">
        <is>
          <t>Using mall names purely as a location proxy to sell homes.</t>
        </is>
      </c>
      <c r="F46" s="8" t="inlineStr">
        <is>
          <t>Not a co-op partner — a Cost per 1,000 impressions competitor. Avoid their keyword set; out-flank on friction terms.</t>
        </is>
      </c>
    </row>
    <row r="47">
      <c r="A47" s="5" t="inlineStr">
        <is>
          <t>Funtura.in with LuLu Mall Hyderabad</t>
        </is>
      </c>
      <c r="B47" s="5" t="n">
        <v>6</v>
      </c>
      <c r="C47" s="5" t="inlineStr">
        <is>
          <t>Mall / Landlord (Direct Competitor)</t>
        </is>
      </c>
      <c r="D47" s="6" t="inlineStr">
        <is>
          <t>Lulu Mall Hyderabad</t>
        </is>
      </c>
      <c r="E47" s="6" t="inlineStr">
        <is>
          <t>A direct competitor in the paid auction.</t>
        </is>
      </c>
      <c r="F47" s="6" t="inlineStr">
        <is>
          <t>Deconstruct and counter (Tab 7).</t>
        </is>
      </c>
    </row>
    <row r="48">
      <c r="A48" s="7" t="inlineStr">
        <is>
          <t>Krishnapatnam</t>
        </is>
      </c>
      <c r="B48" s="7" t="n">
        <v>6</v>
      </c>
      <c r="C48" s="7" t="inlineStr">
        <is>
          <t>Other Advertiser (Event / Service / Direct-to-Consumer)</t>
        </is>
      </c>
      <c r="D48" s="8" t="inlineStr">
        <is>
          <t>Sarath City Capital Mall</t>
        </is>
      </c>
      <c r="E48" s="8" t="inlineStr">
        <is>
          <t>Event, service or direct-to-consumer brand buying local mall-adjacent reach.</t>
        </is>
      </c>
      <c r="F48" s="8" t="inlineStr">
        <is>
          <t>Candidate for an event or activation co-op rather than a retail co-op.</t>
        </is>
      </c>
    </row>
    <row r="49">
      <c r="A49" s="5" t="inlineStr">
        <is>
          <t>Truecarat Diamonds Pvt Ltd</t>
        </is>
      </c>
      <c r="B49" s="5" t="n">
        <v>6</v>
      </c>
      <c r="C49" s="5" t="inlineStr">
        <is>
          <t>Other Advertiser (Event / Service / Direct-to-Consumer)</t>
        </is>
      </c>
      <c r="D49" s="6" t="inlineStr">
        <is>
          <t>Inorbit Mall Cyberabad</t>
        </is>
      </c>
      <c r="E49" s="6" t="inlineStr">
        <is>
          <t>Event, service or direct-to-consumer brand buying local mall-adjacent reach.</t>
        </is>
      </c>
      <c r="F49" s="6" t="inlineStr">
        <is>
          <t>Candidate for an event or activation co-op rather than a retail co-op.</t>
        </is>
      </c>
    </row>
    <row r="50">
      <c r="A50" s="7" t="inlineStr">
        <is>
          <t>Kohinoor Kaleido</t>
        </is>
      </c>
      <c r="B50" s="7" t="n">
        <v>5</v>
      </c>
      <c r="C50" s="7" t="inlineStr">
        <is>
          <t>Real Estate Developer (Location-Piggyback)</t>
        </is>
      </c>
      <c r="D50" s="8" t="inlineStr">
        <is>
          <t>Phoenix Marketcity Pune</t>
        </is>
      </c>
      <c r="E50" s="8" t="inlineStr">
        <is>
          <t>Using mall names purely as a location proxy to sell homes.</t>
        </is>
      </c>
      <c r="F50" s="8" t="inlineStr">
        <is>
          <t>Not a co-op partner — a Cost per 1,000 impressions competitor. Avoid their keyword set; out-flank on friction terms.</t>
        </is>
      </c>
    </row>
    <row r="51">
      <c r="A51" s="5" t="inlineStr">
        <is>
          <t>Luxurious Residential Properties</t>
        </is>
      </c>
      <c r="B51" s="5" t="n">
        <v>5</v>
      </c>
      <c r="C51" s="5" t="inlineStr">
        <is>
          <t>Real Estate Developer (Location-Piggyback)</t>
        </is>
      </c>
      <c r="D51" s="6" t="inlineStr">
        <is>
          <t>Nexus Hyderabad Mall, Phoenix Marketcity Pune</t>
        </is>
      </c>
      <c r="E51" s="6" t="inlineStr">
        <is>
          <t>Using mall names purely as a location proxy to sell homes.</t>
        </is>
      </c>
      <c r="F51" s="6" t="inlineStr">
        <is>
          <t>Not a co-op partner — a Cost per 1,000 impressions competitor. Avoid their keyword set; out-flank on friction terms.</t>
        </is>
      </c>
    </row>
    <row r="52">
      <c r="A52" s="7" t="inlineStr">
        <is>
          <t>Tathawade - Wakad New Launch</t>
        </is>
      </c>
      <c r="B52" s="7" t="n">
        <v>5</v>
      </c>
      <c r="C52" s="7" t="inlineStr">
        <is>
          <t>Real Estate Developer (Location-Piggyback)</t>
        </is>
      </c>
      <c r="D52" s="8" t="inlineStr">
        <is>
          <t>Phoenix Mall of the Millennium Wakad</t>
        </is>
      </c>
      <c r="E52" s="8" t="inlineStr">
        <is>
          <t>Using mall names purely as a location proxy to sell homes.</t>
        </is>
      </c>
      <c r="F52" s="8" t="inlineStr">
        <is>
          <t>Not a co-op partner — a Cost per 1,000 impressions competitor. Avoid their keyword set; out-flank on friction terms.</t>
        </is>
      </c>
    </row>
    <row r="53">
      <c r="A53" s="5" t="inlineStr">
        <is>
          <t>Pune New Property Launches</t>
        </is>
      </c>
      <c r="B53" s="5" t="n">
        <v>4</v>
      </c>
      <c r="C53" s="5" t="inlineStr">
        <is>
          <t>Real Estate Developer (Location-Piggyback)</t>
        </is>
      </c>
      <c r="D53" s="6" t="inlineStr">
        <is>
          <t>Phoenix Marketcity Pune</t>
        </is>
      </c>
      <c r="E53" s="6" t="inlineStr">
        <is>
          <t>Using mall names purely as a location proxy to sell homes.</t>
        </is>
      </c>
      <c r="F53" s="6" t="inlineStr">
        <is>
          <t>Not a co-op partner — a Cost per 1,000 impressions competitor. Avoid their keyword set; out-flank on friction terms.</t>
        </is>
      </c>
    </row>
    <row r="54">
      <c r="A54" s="7" t="inlineStr">
        <is>
          <t>Indriya Jewels</t>
        </is>
      </c>
      <c r="B54" s="7" t="n">
        <v>4</v>
      </c>
      <c r="C54" s="7" t="inlineStr">
        <is>
          <t>Tenant / Retail Brand (Co-Op Candidate)</t>
        </is>
      </c>
      <c r="D54" s="8" t="inlineStr">
        <is>
          <t>Phoenix Marketcity Pune</t>
        </is>
      </c>
      <c r="E54" s="8" t="inlineStr">
        <is>
          <t>Already spending against mall intent — the easiest co-op yes in the deck.</t>
        </is>
      </c>
      <c r="F54" s="8" t="inlineStr">
        <is>
          <t>Lead the co-op pitch with this brand. They have proven budget and proven intent.</t>
        </is>
      </c>
    </row>
    <row r="55">
      <c r="A55" s="5" t="inlineStr">
        <is>
          <t>Pimpri Chinchwad Real Estate</t>
        </is>
      </c>
      <c r="B55" s="5" t="n">
        <v>4</v>
      </c>
      <c r="C55" s="5" t="inlineStr">
        <is>
          <t>Real Estate Developer (Location-Piggyback)</t>
        </is>
      </c>
      <c r="D55" s="6" t="inlineStr">
        <is>
          <t>Phoenix Mall of the Millennium Wakad</t>
        </is>
      </c>
      <c r="E55" s="6" t="inlineStr">
        <is>
          <t>Using mall names purely as a location proxy to sell homes.</t>
        </is>
      </c>
      <c r="F55" s="6" t="inlineStr">
        <is>
          <t>Not a co-op partner — a Cost per 1,000 impressions competitor. Avoid their keyword set; out-flank on friction terms.</t>
        </is>
      </c>
    </row>
    <row r="56">
      <c r="A56" s="7" t="inlineStr">
        <is>
          <t>Palmonas</t>
        </is>
      </c>
      <c r="B56" s="7" t="n">
        <v>4</v>
      </c>
      <c r="C56" s="7" t="inlineStr">
        <is>
          <t>Other Advertiser (Event / Service / Direct-to-Consumer)</t>
        </is>
      </c>
      <c r="D56" s="8" t="inlineStr">
        <is>
          <t>Sarath City Capital Mall, Seasons Mall Pune</t>
        </is>
      </c>
      <c r="E56" s="8" t="inlineStr">
        <is>
          <t>Event, service or direct-to-consumer brand buying local mall-adjacent reach.</t>
        </is>
      </c>
      <c r="F56" s="8" t="inlineStr">
        <is>
          <t>Candidate for an event or activation co-op rather than a retail co-op.</t>
        </is>
      </c>
    </row>
    <row r="58" ht="22" customHeight="1">
      <c r="A58" s="49" t="inlineStr">
        <is>
          <t>C · THE CO-OP MECHANIC</t>
        </is>
      </c>
    </row>
    <row r="59" ht="34" customHeight="1">
      <c r="A59" s="50" t="inlineStr">
        <is>
          <t>Step</t>
        </is>
      </c>
      <c r="B59" s="50" t="inlineStr">
        <is>
          <t>What happens</t>
        </is>
      </c>
      <c r="C59" s="50" t="inlineStr">
        <is>
          <t>Who owns it</t>
        </is>
      </c>
    </row>
    <row r="60">
      <c r="A60" s="5" t="inlineStr">
        <is>
          <t>1 · Qualify</t>
        </is>
      </c>
      <c r="B60" s="6" t="inlineStr">
        <is>
          <t>Tenant is on the demand-ranked list above, i.e. shoppers already name them unprompted.</t>
        </is>
      </c>
      <c r="C60" s="5" t="inlineStr">
        <is>
          <t>Mall marketing</t>
        </is>
      </c>
    </row>
    <row r="61">
      <c r="A61" s="7" t="inlineStr">
        <is>
          <t>2 · Pitch the match</t>
        </is>
      </c>
      <c r="B61" s="8" t="inlineStr">
        <is>
          <t>Every ₹1 the tenant commits, Lake Shore matches with ₹1 of geofenced mall media. Their rupee buys twice the reach it would alone.</t>
        </is>
      </c>
      <c r="C61" s="7" t="inlineStr">
        <is>
          <t>Mall marketing</t>
        </is>
      </c>
    </row>
    <row r="62">
      <c r="A62" s="5" t="inlineStr">
        <is>
          <t>3 · Split the ad account</t>
        </is>
      </c>
      <c r="B62" s="6" t="inlineStr">
        <is>
          <t>Ads run from the Lake Shore ad account with the tenant as a Partnership/branded-content partner, so both sides see the reporting and neither loses attribution.</t>
        </is>
      </c>
      <c r="C62" s="5" t="inlineStr">
        <is>
          <t>Media buyer</t>
        </is>
      </c>
    </row>
    <row r="63">
      <c r="A63" s="7" t="inlineStr">
        <is>
          <t>4 · Fix the creative division</t>
        </is>
      </c>
      <c r="B63" s="8" t="inlineStr">
        <is>
          <t>Tenant supplies product and price. Lake Shore supplies footfall context, creator whitelisting and the geofence. Neither can produce the other half alone — that is what makes the match fair.</t>
        </is>
      </c>
      <c r="C63" s="7" t="inlineStr">
        <is>
          <t>Both</t>
        </is>
      </c>
    </row>
    <row r="64">
      <c r="A64" s="5" t="inlineStr">
        <is>
          <t>5 · Report on one metric</t>
        </is>
      </c>
      <c r="B64" s="6" t="inlineStr">
        <is>
          <t>Cost per Direction Click to the mall, and in-store redemptions for the tenant. Do not report Cost per 1,000 impressions to a tenant; they will benchmark it against their own direct-to-consumer buys and it will always look worse.</t>
        </is>
      </c>
      <c r="C64" s="5" t="inlineStr">
        <is>
          <t>Analyst</t>
        </is>
      </c>
    </row>
    <row r="65">
      <c r="A65" s="7" t="inlineStr">
        <is>
          <t>6 · Renew or kill at 6 weeks</t>
        </is>
      </c>
      <c r="B65" s="8" t="inlineStr">
        <is>
          <t>Tenants renew on redemption evidence. Build the redemption capture (Tab 6) before the first co-op goes live, not after.</t>
        </is>
      </c>
      <c r="C65" s="7" t="inlineStr">
        <is>
          <t>Media buyer</t>
        </is>
      </c>
    </row>
    <row r="67" ht="28" customHeight="1">
      <c r="A67" s="9" t="inlineStr">
        <is>
          <t>[FROM THE DATA] Mention counts come from 179 YouTube transcript records and 5,981 Instagram captions; the advertiser table is the raw 425-ad scrape. [PLANNING] Pool sizes and match ratios are commercial constructs to negotiate, not measured figures. Only 17 of 425 scraped ads were tenant/retail brands — this money is genuinely unclaimed in both cities.</t>
        </is>
      </c>
    </row>
  </sheetData>
  <mergeCells count="6">
    <mergeCell ref="A2:L2"/>
    <mergeCell ref="A33:L33"/>
    <mergeCell ref="A67:J67"/>
    <mergeCell ref="A1:L1"/>
    <mergeCell ref="A58:L58"/>
    <mergeCell ref="A4:L4"/>
  </mergeCells>
  <pageMargins left="0.75" right="0.75" top="1" bottom="1" header="0.5" footer="0.5"/>
</worksheet>
</file>

<file path=xl/worksheets/sheet11.xml><?xml version="1.0" encoding="utf-8"?>
<worksheet xmlns="http://schemas.openxmlformats.org/spreadsheetml/2006/main">
  <sheetPr>
    <tabColor rgb="00BE185D"/>
    <outlinePr summaryBelow="1" summaryRight="1"/>
    <pageSetUpPr/>
  </sheetPr>
  <dimension ref="A1:L37"/>
  <sheetViews>
    <sheetView workbookViewId="0">
      <selection activeCell="A1" sqref="A1"/>
    </sheetView>
  </sheetViews>
  <sheetFormatPr baseColWidth="8" defaultRowHeight="15"/>
  <cols>
    <col width="36" customWidth="1" min="1" max="1"/>
    <col width="140" customWidth="1" min="2" max="2"/>
    <col width="20" customWidth="1" min="3" max="3"/>
    <col width="96" customWidth="1" min="4" max="4"/>
    <col width="22" customWidth="1" min="5" max="5"/>
    <col width="24" customWidth="1" min="6" max="6"/>
    <col width="17" customWidth="1" min="7" max="7"/>
    <col width="16" customWidth="1" min="8" max="8"/>
    <col width="70" customWidth="1" min="9" max="9"/>
  </cols>
  <sheetData>
    <row r="1" ht="30" customHeight="1">
      <c r="A1" s="51" t="inlineStr">
        <is>
          <t>10 · VISUAL ASSET PHOTO MINING — WHAT SHOPPERS ACTUALLY PHOTOGRAPH</t>
        </is>
      </c>
    </row>
    <row r="2" ht="20" customHeight="1">
      <c r="A2" s="2" t="inlineStr">
        <is>
          <t>2,764 reviews carried photos, totalling 8,966 images across 12 malls. What people choose to shoot is a free, honest brief for what your ad creative should show.</t>
        </is>
      </c>
    </row>
    <row r="4" ht="22" customHeight="1">
      <c r="A4" s="52" t="inlineStr">
        <is>
          <t>A · SHOPPER-PHOTO VOLUME BY MALL</t>
        </is>
      </c>
    </row>
    <row r="5" ht="34" customHeight="1">
      <c r="A5" s="53" t="inlineStr">
        <is>
          <t>Mall</t>
        </is>
      </c>
      <c r="B5" s="53" t="inlineStr">
        <is>
          <t>City</t>
        </is>
      </c>
      <c r="C5" s="53" t="inlineStr">
        <is>
          <t>Reviews with photos</t>
        </is>
      </c>
      <c r="D5" s="53" t="inlineStr">
        <is>
          <t>Images uploaded</t>
        </is>
      </c>
      <c r="E5" s="53" t="inlineStr">
        <is>
          <t>% of reviews with a photo</t>
        </is>
      </c>
      <c r="F5" s="53" t="inlineStr">
        <is>
          <t>Average rating of photo reviewers</t>
        </is>
      </c>
      <c r="G5" s="53" t="inlineStr">
        <is>
          <t>Average rating overall</t>
        </is>
      </c>
      <c r="H5" s="53" t="inlineStr">
        <is>
          <t>Photo-reviewer lift</t>
        </is>
      </c>
      <c r="I5" s="53" t="inlineStr">
        <is>
          <t>What it means</t>
        </is>
      </c>
    </row>
    <row r="6">
      <c r="A6" s="5" t="inlineStr">
        <is>
          <t>Phoenix Avenue of Stars</t>
        </is>
      </c>
      <c r="B6" s="5" t="inlineStr">
        <is>
          <t>Pune</t>
        </is>
      </c>
      <c r="C6" s="5" t="n">
        <v>1448</v>
      </c>
      <c r="D6" s="5" t="n">
        <v>4435</v>
      </c>
      <c r="E6" s="5" t="n">
        <v>76.59999999999999</v>
      </c>
      <c r="F6" s="5" t="n">
        <v>4.64</v>
      </c>
      <c r="G6" s="5" t="n">
        <v>4.47</v>
      </c>
      <c r="H6" s="5" t="n">
        <v>0.17</v>
      </c>
      <c r="I6" s="6" t="inlineStr">
        <is>
          <t>Photo-takers rate it higher — the physical product photographs well</t>
        </is>
      </c>
    </row>
    <row r="7">
      <c r="A7" s="7" t="inlineStr">
        <is>
          <t>Lulu Mall Hyderabad (Y Junction)</t>
        </is>
      </c>
      <c r="B7" s="7" t="inlineStr">
        <is>
          <t>Hyderabad</t>
        </is>
      </c>
      <c r="C7" s="7" t="n">
        <v>257</v>
      </c>
      <c r="D7" s="7" t="n">
        <v>998</v>
      </c>
      <c r="E7" s="7" t="n">
        <v>6.7</v>
      </c>
      <c r="F7" s="7" t="n">
        <v>3.94</v>
      </c>
      <c r="G7" s="7" t="n">
        <v>4.21</v>
      </c>
      <c r="H7" s="7" t="n">
        <v>-0.27</v>
      </c>
      <c r="I7" s="8" t="inlineStr">
        <is>
          <t>Photo-takers rate it LOWER — people are documenting complaints, not delight</t>
        </is>
      </c>
    </row>
    <row r="8">
      <c r="A8" s="5" t="inlineStr">
        <is>
          <t>KOPA Mall, Pune</t>
        </is>
      </c>
      <c r="B8" s="5" t="inlineStr">
        <is>
          <t>Pune</t>
        </is>
      </c>
      <c r="C8" s="5" t="n">
        <v>231</v>
      </c>
      <c r="D8" s="5" t="n">
        <v>1254</v>
      </c>
      <c r="E8" s="5" t="n">
        <v>9.800000000000001</v>
      </c>
      <c r="F8" s="5" t="n">
        <v>4.59</v>
      </c>
      <c r="G8" s="5" t="n">
        <v>4.43</v>
      </c>
      <c r="H8" s="5" t="n">
        <v>0.16</v>
      </c>
      <c r="I8" s="6" t="inlineStr">
        <is>
          <t>Photo-takers rate it higher — the physical product photographs well</t>
        </is>
      </c>
    </row>
    <row r="9">
      <c r="A9" s="7" t="inlineStr">
        <is>
          <t>The Pavillion Pune</t>
        </is>
      </c>
      <c r="B9" s="7" t="inlineStr">
        <is>
          <t>Pune</t>
        </is>
      </c>
      <c r="C9" s="7" t="n">
        <v>154</v>
      </c>
      <c r="D9" s="7" t="n">
        <v>373</v>
      </c>
      <c r="E9" s="7" t="n">
        <v>6.2</v>
      </c>
      <c r="F9" s="7" t="n">
        <v>4.58</v>
      </c>
      <c r="G9" s="7" t="n">
        <v>4.53</v>
      </c>
      <c r="H9" s="7" t="n">
        <v>0.05</v>
      </c>
      <c r="I9" s="8" t="inlineStr">
        <is>
          <t>Neutral</t>
        </is>
      </c>
    </row>
    <row r="10">
      <c r="A10" s="5" t="inlineStr">
        <is>
          <t>Amanora Mall</t>
        </is>
      </c>
      <c r="B10" s="5" t="inlineStr">
        <is>
          <t>Pune</t>
        </is>
      </c>
      <c r="C10" s="5" t="n">
        <v>135</v>
      </c>
      <c r="D10" s="5" t="n">
        <v>333</v>
      </c>
      <c r="E10" s="5" t="n">
        <v>8.4</v>
      </c>
      <c r="F10" s="5" t="n">
        <v>4.61</v>
      </c>
      <c r="G10" s="5" t="n">
        <v>4.52</v>
      </c>
      <c r="H10" s="5" t="n">
        <v>0.09</v>
      </c>
      <c r="I10" s="6" t="inlineStr">
        <is>
          <t>Photo-takers rate it higher — the physical product photographs well</t>
        </is>
      </c>
    </row>
    <row r="11">
      <c r="A11" s="7" t="inlineStr">
        <is>
          <t>Nexus Hyderabad Mall (Forum Sujana)</t>
        </is>
      </c>
      <c r="B11" s="7" t="inlineStr">
        <is>
          <t>Hyderabad</t>
        </is>
      </c>
      <c r="C11" s="7" t="n">
        <v>127</v>
      </c>
      <c r="D11" s="7" t="n">
        <v>304</v>
      </c>
      <c r="E11" s="7" t="n">
        <v>6.5</v>
      </c>
      <c r="F11" s="7" t="n">
        <v>4.29</v>
      </c>
      <c r="G11" s="7" t="n">
        <v>4.41</v>
      </c>
      <c r="H11" s="7" t="n">
        <v>-0.12</v>
      </c>
      <c r="I11" s="8" t="inlineStr">
        <is>
          <t>Photo-takers rate it LOWER — people are documenting complaints, not delight</t>
        </is>
      </c>
    </row>
    <row r="12">
      <c r="A12" s="5" t="inlineStr">
        <is>
          <t>GVK One Mall</t>
        </is>
      </c>
      <c r="B12" s="5" t="inlineStr">
        <is>
          <t>Hyderabad</t>
        </is>
      </c>
      <c r="C12" s="5" t="n">
        <v>116</v>
      </c>
      <c r="D12" s="5" t="n">
        <v>563</v>
      </c>
      <c r="E12" s="5" t="n">
        <v>5.6</v>
      </c>
      <c r="F12" s="5" t="n">
        <v>4.38</v>
      </c>
      <c r="G12" s="5" t="n">
        <v>4.34</v>
      </c>
      <c r="H12" s="5" t="n">
        <v>0.04</v>
      </c>
      <c r="I12" s="6" t="inlineStr">
        <is>
          <t>Neutral</t>
        </is>
      </c>
    </row>
    <row r="13">
      <c r="A13" s="7" t="inlineStr">
        <is>
          <t>Sarath City Capital Mall</t>
        </is>
      </c>
      <c r="B13" s="7" t="inlineStr">
        <is>
          <t>Hyderabad</t>
        </is>
      </c>
      <c r="C13" s="7" t="n">
        <v>112</v>
      </c>
      <c r="D13" s="7" t="n">
        <v>267</v>
      </c>
      <c r="E13" s="7" t="n">
        <v>7</v>
      </c>
      <c r="F13" s="7" t="n">
        <v>4.49</v>
      </c>
      <c r="G13" s="7" t="n">
        <v>4.39</v>
      </c>
      <c r="H13" s="7" t="n">
        <v>0.1</v>
      </c>
      <c r="I13" s="8" t="inlineStr">
        <is>
          <t>Photo-takers rate it higher — the physical product photographs well</t>
        </is>
      </c>
    </row>
    <row r="14">
      <c r="A14" s="5" t="inlineStr">
        <is>
          <t>Inorbit Mall Cyberabad</t>
        </is>
      </c>
      <c r="B14" s="5" t="inlineStr">
        <is>
          <t>Hyderabad</t>
        </is>
      </c>
      <c r="C14" s="5" t="n">
        <v>86</v>
      </c>
      <c r="D14" s="5" t="n">
        <v>180</v>
      </c>
      <c r="E14" s="5" t="n">
        <v>5.5</v>
      </c>
      <c r="F14" s="5" t="n">
        <v>4.42</v>
      </c>
      <c r="G14" s="5" t="n">
        <v>4.47</v>
      </c>
      <c r="H14" s="5" t="n">
        <v>-0.05</v>
      </c>
      <c r="I14" s="6" t="inlineStr">
        <is>
          <t>Neutral</t>
        </is>
      </c>
    </row>
    <row r="15">
      <c r="A15" s="7" t="inlineStr">
        <is>
          <t>Seasons Mall</t>
        </is>
      </c>
      <c r="B15" s="7" t="inlineStr">
        <is>
          <t>Pune</t>
        </is>
      </c>
      <c r="C15" s="7" t="n">
        <v>51</v>
      </c>
      <c r="D15" s="7" t="n">
        <v>123</v>
      </c>
      <c r="E15" s="7" t="n">
        <v>4.6</v>
      </c>
      <c r="F15" s="7" t="n">
        <v>4.61</v>
      </c>
      <c r="G15" s="7" t="n">
        <v>4.5</v>
      </c>
      <c r="H15" s="7" t="n">
        <v>0.11</v>
      </c>
      <c r="I15" s="8" t="inlineStr">
        <is>
          <t>Photo-takers rate it higher — the physical product photographs well</t>
        </is>
      </c>
    </row>
    <row r="16">
      <c r="A16" s="5" t="inlineStr">
        <is>
          <t>Manjeera Trinity Mall (Y Junction)</t>
        </is>
      </c>
      <c r="B16" s="5" t="inlineStr">
        <is>
          <t>Hyderabad</t>
        </is>
      </c>
      <c r="C16" s="5" t="n">
        <v>41</v>
      </c>
      <c r="D16" s="5" t="n">
        <v>128</v>
      </c>
      <c r="E16" s="5" t="n">
        <v>1.5</v>
      </c>
      <c r="F16" s="5" t="n">
        <v>4.41</v>
      </c>
      <c r="G16" s="5" t="n">
        <v>3.97</v>
      </c>
      <c r="H16" s="5" t="n">
        <v>0.44</v>
      </c>
      <c r="I16" s="6" t="inlineStr">
        <is>
          <t>Photo-takers rate it higher — the physical product photographs well</t>
        </is>
      </c>
    </row>
    <row r="17">
      <c r="A17" s="7" t="inlineStr">
        <is>
          <t>Phoenix Mall of the Millennium</t>
        </is>
      </c>
      <c r="B17" s="7" t="inlineStr">
        <is>
          <t>Pune</t>
        </is>
      </c>
      <c r="C17" s="7" t="n">
        <v>6</v>
      </c>
      <c r="D17" s="7" t="n">
        <v>8</v>
      </c>
      <c r="E17" s="7" t="n">
        <v>12</v>
      </c>
      <c r="F17" s="7" t="n">
        <v>3.33</v>
      </c>
      <c r="G17" s="7" t="n">
        <v>4.36</v>
      </c>
      <c r="H17" s="7" t="n">
        <v>-1.03</v>
      </c>
      <c r="I17" s="8" t="inlineStr">
        <is>
          <t>Photo-takers rate it LOWER — people are documenting complaints, not delight</t>
        </is>
      </c>
    </row>
    <row r="19" ht="22" customHeight="1">
      <c r="A19" s="52" t="inlineStr">
        <is>
          <t>B · WHAT THE PHOTOS ARE OF — THEME MINING ACROSS ALL 2,764 PHOTO REVIEWS</t>
        </is>
      </c>
    </row>
    <row r="20" ht="34" customHeight="1">
      <c r="A20" s="53" t="inlineStr">
        <is>
          <t>Theme</t>
        </is>
      </c>
      <c r="B20" s="53" t="inlineStr">
        <is>
          <t>Photo reviews mentioning it</t>
        </is>
      </c>
      <c r="C20" s="53" t="inlineStr">
        <is>
          <t>Share of photo reviews</t>
        </is>
      </c>
      <c r="D20" s="53" t="inlineStr">
        <is>
          <t>Creative instruction</t>
        </is>
      </c>
      <c r="E20" s="53" t="inlineStr">
        <is>
          <t>Which ad concept it feeds</t>
        </is>
      </c>
    </row>
    <row r="21">
      <c r="A21" s="5" t="inlineStr">
        <is>
          <t>Store &amp; Brand Facade</t>
        </is>
      </c>
      <c r="B21" s="5" t="n">
        <v>1486</v>
      </c>
      <c r="C21" s="5" t="inlineStr">
        <is>
          <t>53.8%</t>
        </is>
      </c>
      <c r="D21" s="6" t="inlineStr">
        <is>
          <t>Shoot storefronts as heroes, not as background. Shoppers photograph the brand sign more than anything else in the mall.</t>
        </is>
      </c>
      <c r="E21" s="5" t="inlineStr">
        <is>
          <t>C-06, C-08</t>
        </is>
      </c>
    </row>
    <row r="22">
      <c r="A22" s="7" t="inlineStr">
        <is>
          <t>Food Plating / Dining Shots</t>
        </is>
      </c>
      <c r="B22" s="7" t="n">
        <v>992</v>
      </c>
      <c r="C22" s="7" t="inlineStr">
        <is>
          <t>35.9%</t>
        </is>
      </c>
      <c r="D22" s="8" t="inlineStr">
        <is>
          <t>Plated food out-shoots interiors. Lead every dining asset with the dish, not the restaurant.</t>
        </is>
      </c>
      <c r="E22" s="7" t="inlineStr">
        <is>
          <t>C-02, C-03, C-04</t>
        </is>
      </c>
    </row>
    <row r="23">
      <c r="A23" s="5" t="inlineStr">
        <is>
          <t>Kids &amp; Family Zone</t>
        </is>
      </c>
      <c r="B23" s="5" t="n">
        <v>534</v>
      </c>
      <c r="C23" s="5" t="inlineStr">
        <is>
          <t>19.3%</t>
        </is>
      </c>
      <c r="D23" s="6" t="inlineStr">
        <is>
          <t>Family and kids zones are photographed far more than their floor area justifies — they are under-represented in current ad creative.</t>
        </is>
      </c>
      <c r="E23" s="5" t="inlineStr">
        <is>
          <t>C-08</t>
        </is>
      </c>
    </row>
    <row r="24">
      <c r="A24" s="7" t="inlineStr">
        <is>
          <t>Ambience / Architecture / Decor</t>
        </is>
      </c>
      <c r="B24" s="7" t="n">
        <v>529</v>
      </c>
      <c r="C24" s="7" t="inlineStr">
        <is>
          <t>19.1%</t>
        </is>
      </c>
      <c r="D24" s="8" t="inlineStr">
        <is>
          <t>Architecture and lighting photograph well; use as the 3-8s body, not the opening 3-second hook.</t>
        </is>
      </c>
      <c r="E24" s="7" t="inlineStr">
        <is>
          <t>C-01, C-06</t>
        </is>
      </c>
    </row>
    <row r="25">
      <c r="A25" s="5" t="inlineStr">
        <is>
          <t>Parking / Entry / Receipt</t>
        </is>
      </c>
      <c r="B25" s="5" t="n">
        <v>442</v>
      </c>
      <c r="C25" s="5" t="inlineStr">
        <is>
          <t>16.0%</t>
        </is>
      </c>
      <c r="D25" s="6" t="inlineStr">
        <is>
          <t>People photograph parking and receipts when something went wrong. This is complaint documentation, and it is the visual proof behind the parking hook.</t>
        </is>
      </c>
      <c r="E25" s="5" t="inlineStr">
        <is>
          <t>C-05, C-13</t>
        </is>
      </c>
    </row>
    <row r="26">
      <c r="A26" s="7" t="inlineStr">
        <is>
          <t>Cinema / PVR</t>
        </is>
      </c>
      <c r="B26" s="7" t="n">
        <v>421</v>
      </c>
      <c r="C26" s="7" t="inlineStr">
        <is>
          <t>15.2%</t>
        </is>
      </c>
      <c r="D26" s="8" t="inlineStr">
        <is>
          <t>Cinema is a named, searched destination in its own right — worth a dedicated ad set, not a mention.</t>
        </is>
      </c>
      <c r="E26" s="7" t="inlineStr">
        <is>
          <t>C-12</t>
        </is>
      </c>
    </row>
    <row r="27">
      <c r="A27" s="5" t="inlineStr">
        <is>
          <t>Event / Festive Setup</t>
        </is>
      </c>
      <c r="B27" s="5" t="n">
        <v>284</v>
      </c>
      <c r="C27" s="5" t="inlineStr">
        <is>
          <t>10.3%</t>
        </is>
      </c>
      <c r="D27" s="6" t="inlineStr">
        <is>
          <t>Festive installations spike photo volume. Flight creative production around the festive calendar, not evenly across the year.</t>
        </is>
      </c>
      <c r="E27" s="5" t="inlineStr">
        <is>
          <t>C-06</t>
        </is>
      </c>
    </row>
    <row r="29" ht="22" customHeight="1">
      <c r="A29" s="52" t="inlineStr">
        <is>
          <t>C · HOW TO USE THESE SHOPPER PHOTOS IN PAID MEDIA</t>
        </is>
      </c>
    </row>
    <row r="30" ht="34" customHeight="1">
      <c r="A30" s="53" t="inlineStr">
        <is>
          <t>Play</t>
        </is>
      </c>
      <c r="B30" s="53" t="inlineStr">
        <is>
          <t>Detail</t>
        </is>
      </c>
    </row>
    <row r="31">
      <c r="A31" s="5" t="inlineStr">
        <is>
          <t>Source, don't shoot</t>
        </is>
      </c>
      <c r="B31" s="6" t="inlineStr">
        <is>
          <t>2,764 photo reviews already exist across these 12 malls. Reach out to your own KOPA and Y Junction photo reviewers for usage rights before commissioning a shoot.</t>
        </is>
      </c>
    </row>
    <row r="32">
      <c r="A32" s="7" t="inlineStr">
        <is>
          <t>Match the shot list to the theme ranking</t>
        </is>
      </c>
      <c r="B32" s="8" t="inlineStr">
        <is>
          <t>Your creative brief should mirror the theme table above in proportion: storefronts first, plated food second, family zones third.</t>
        </is>
      </c>
    </row>
    <row r="33">
      <c r="A33" s="5" t="inlineStr">
        <is>
          <t>Use competitor shopper photos as research, never as an asset</t>
        </is>
      </c>
      <c r="B33" s="6" t="inlineStr">
        <is>
          <t>Competitor images are evidence of what their visitors value. Read them, brief against them, never reuse them.</t>
        </is>
      </c>
    </row>
    <row r="34">
      <c r="A34" s="7" t="inlineStr">
        <is>
          <t>Watch the photo-reviewer lift column</t>
        </is>
      </c>
      <c r="B34" s="8" t="inlineStr">
        <is>
          <t>Where photo-takers rate a mall BELOW its average, the photos are complaints. That mall's own imagery is working against it — and it tells you exactly which frames to use in a conquest ad.</t>
        </is>
      </c>
    </row>
    <row r="35">
      <c r="A35" s="5" t="inlineStr">
        <is>
          <t>Feed shopper photos into the hook lab</t>
        </is>
      </c>
      <c r="B35" s="6" t="inlineStr">
        <is>
          <t>Real, slightly imperfect shopper photography consistently out-performs studio work in the first 3 seconds. Run it as a cell in LS_BOTH_META_TEST_HOOKLAB_0-3S.</t>
        </is>
      </c>
    </row>
    <row r="37" ht="28" customHeight="1">
      <c r="A37" s="9" t="inlineStr">
        <is>
          <t>[FROM THE DATA] Counts, image totals and rating lift are computed from the reviewImageUrls field of the 23,218-review scrape. [PLANNING] The creative instructions are the interpretation. Usage rights must be obtained before any shopper photo is used in a paid ad.</t>
        </is>
      </c>
    </row>
  </sheetData>
  <mergeCells count="6">
    <mergeCell ref="A2:L2"/>
    <mergeCell ref="A29:L29"/>
    <mergeCell ref="A19:L19"/>
    <mergeCell ref="A37:I37"/>
    <mergeCell ref="A1:L1"/>
    <mergeCell ref="A4:L4"/>
  </mergeCells>
  <pageMargins left="0.75" right="0.75" top="1" bottom="1" header="0.5" footer="0.5"/>
</worksheet>
</file>

<file path=xl/worksheets/sheet12.xml><?xml version="1.0" encoding="utf-8"?>
<worksheet xmlns="http://schemas.openxmlformats.org/spreadsheetml/2006/main">
  <sheetPr>
    <tabColor rgb="001D4ED8"/>
    <outlinePr summaryBelow="1" summaryRight="1"/>
    <pageSetUpPr/>
  </sheetPr>
  <dimension ref="A1:X71"/>
  <sheetViews>
    <sheetView workbookViewId="0">
      <selection activeCell="A1" sqref="A1"/>
    </sheetView>
  </sheetViews>
  <sheetFormatPr baseColWidth="8" defaultRowHeight="15"/>
  <cols>
    <col width="46" customWidth="1" min="1" max="1"/>
    <col width="100" customWidth="1" min="2" max="2"/>
    <col width="86" customWidth="1" min="3" max="3"/>
    <col width="10" customWidth="1" min="4" max="4"/>
    <col width="10" customWidth="1" min="5" max="5"/>
    <col width="10" customWidth="1" min="6" max="6"/>
    <col width="11" customWidth="1" min="7" max="7"/>
    <col width="13" customWidth="1" min="8" max="8"/>
    <col width="13" customWidth="1" min="9" max="9"/>
    <col width="12" customWidth="1" min="10" max="10"/>
    <col width="14" customWidth="1" min="11" max="11"/>
    <col width="32" customWidth="1" min="12" max="12"/>
    <col width="72" customWidth="1" min="13" max="13"/>
    <col hidden="1" width="13" customWidth="1" min="20" max="20"/>
    <col hidden="1" width="13" customWidth="1" min="21" max="21"/>
    <col hidden="1" width="13" customWidth="1" min="22" max="22"/>
    <col hidden="1" width="13" customWidth="1" min="23" max="23"/>
    <col hidden="1" width="13" customWidth="1" min="24" max="24"/>
    <col hidden="1" width="13" customWidth="1" min="25" max="25"/>
  </cols>
  <sheetData>
    <row r="1" ht="30" customHeight="1">
      <c r="A1" s="54" t="inlineStr">
        <is>
          <t>11 · 4-YEAR RATING DRIFT (2023-2026) — WHERE COMPETITOR SENTIMENT IS DECAYING</t>
        </is>
      </c>
    </row>
    <row r="2" ht="20" customHeight="1">
      <c r="A2" s="2" t="inlineStr">
        <is>
          <t>A falling rating in a 3km ring is a buying signal: the catchment is dissatisfied and in market for an alternative. Computed from 23,218 dated reviews.</t>
        </is>
      </c>
    </row>
    <row r="4" ht="22" customHeight="1">
      <c r="A4" s="55" t="inlineStr">
        <is>
          <t>A · YEAR-BY-YEAR RATING AND NEGATIVE SHARE</t>
        </is>
      </c>
    </row>
    <row r="5" ht="34" customHeight="1">
      <c r="A5" s="56" t="inlineStr">
        <is>
          <t>Mall</t>
        </is>
      </c>
      <c r="B5" s="56" t="inlineStr">
        <is>
          <t>City</t>
        </is>
      </c>
      <c r="C5" s="56" t="inlineStr">
        <is>
          <t>2023 average</t>
        </is>
      </c>
      <c r="D5" s="56" t="inlineStr">
        <is>
          <t>2024 average</t>
        </is>
      </c>
      <c r="E5" s="56" t="inlineStr">
        <is>
          <t>2025 average</t>
        </is>
      </c>
      <c r="F5" s="56" t="inlineStr">
        <is>
          <t>2026 average</t>
        </is>
      </c>
      <c r="G5" s="56" t="inlineStr">
        <is>
          <t>Drift 23→26</t>
        </is>
      </c>
      <c r="H5" s="56" t="inlineStr">
        <is>
          <t>2026 reviews</t>
        </is>
      </c>
      <c r="I5" s="56" t="inlineStr">
        <is>
          <t>2026 1-star and 2-star %</t>
        </is>
      </c>
      <c r="J5" s="56" t="inlineStr">
        <is>
          <t>All-time average</t>
        </is>
      </c>
      <c r="K5" s="56" t="inlineStr">
        <is>
          <t>All-time 1-star and 2-star %</t>
        </is>
      </c>
      <c r="L5" s="56" t="inlineStr">
        <is>
          <t>Verdict</t>
        </is>
      </c>
      <c r="M5" s="56" t="inlineStr">
        <is>
          <t>Media buying action</t>
        </is>
      </c>
    </row>
    <row r="6">
      <c r="A6" s="5" t="inlineStr">
        <is>
          <t>GVK One Mall</t>
        </is>
      </c>
      <c r="B6" s="5" t="inlineStr">
        <is>
          <t>Hyderabad</t>
        </is>
      </c>
      <c r="C6" s="5" t="n"/>
      <c r="D6" s="5" t="n"/>
      <c r="E6" s="5" t="n">
        <v>4.35</v>
      </c>
      <c r="F6" s="5" t="n">
        <v>4.33</v>
      </c>
      <c r="G6" s="5" t="n"/>
      <c r="H6" s="5" t="n">
        <v>748</v>
      </c>
      <c r="I6" s="5" t="n">
        <v>6.95</v>
      </c>
      <c r="J6" s="5" t="n">
        <v>4.34</v>
      </c>
      <c r="K6" s="5" t="n">
        <v>6.3</v>
      </c>
      <c r="L6" s="6" t="inlineStr">
        <is>
          <t>Insufficient history</t>
        </is>
      </c>
      <c r="M6" s="6" t="inlineStr">
        <is>
          <t>Monitor only</t>
        </is>
      </c>
    </row>
    <row r="7">
      <c r="A7" s="7" t="inlineStr">
        <is>
          <t>Inorbit Mall Cyberabad</t>
        </is>
      </c>
      <c r="B7" s="7" t="inlineStr">
        <is>
          <t>Hyderabad</t>
        </is>
      </c>
      <c r="C7" s="7" t="n"/>
      <c r="D7" s="7" t="n"/>
      <c r="E7" s="7" t="n"/>
      <c r="F7" s="7" t="n">
        <v>4.47</v>
      </c>
      <c r="G7" s="7" t="n"/>
      <c r="H7" s="7" t="n">
        <v>1560</v>
      </c>
      <c r="I7" s="7" t="n">
        <v>5.38</v>
      </c>
      <c r="J7" s="7" t="n">
        <v>4.47</v>
      </c>
      <c r="K7" s="7" t="n">
        <v>5.38</v>
      </c>
      <c r="L7" s="8" t="inlineStr">
        <is>
          <t>Insufficient history</t>
        </is>
      </c>
      <c r="M7" s="8" t="inlineStr">
        <is>
          <t>Monitor only</t>
        </is>
      </c>
    </row>
    <row r="8">
      <c r="A8" s="5" t="inlineStr">
        <is>
          <t>Lulu Mall Hyderabad (Y Junction)</t>
        </is>
      </c>
      <c r="B8" s="5" t="inlineStr">
        <is>
          <t>Hyderabad</t>
        </is>
      </c>
      <c r="C8" s="5" t="n"/>
      <c r="D8" s="5" t="n"/>
      <c r="E8" s="5" t="n">
        <v>4.26</v>
      </c>
      <c r="F8" s="5" t="n">
        <v>4.18</v>
      </c>
      <c r="G8" s="5" t="n"/>
      <c r="H8" s="5" t="n">
        <v>2608</v>
      </c>
      <c r="I8" s="5" t="n">
        <v>10.66</v>
      </c>
      <c r="J8" s="5" t="n">
        <v>4.21</v>
      </c>
      <c r="K8" s="5" t="n">
        <v>9.609999999999999</v>
      </c>
      <c r="L8" s="6" t="inlineStr">
        <is>
          <t>Insufficient history</t>
        </is>
      </c>
      <c r="M8" s="6" t="inlineStr">
        <is>
          <t>Monitor only</t>
        </is>
      </c>
    </row>
    <row r="9">
      <c r="A9" s="7" t="inlineStr">
        <is>
          <t>Manjeera Trinity Mall (Y Junction)</t>
        </is>
      </c>
      <c r="B9" s="7" t="inlineStr">
        <is>
          <t>Hyderabad</t>
        </is>
      </c>
      <c r="C9" s="7" t="n">
        <v>3.93</v>
      </c>
      <c r="D9" s="7" t="n">
        <v>4.12</v>
      </c>
      <c r="E9" s="7" t="n">
        <v>4.15</v>
      </c>
      <c r="F9" s="7" t="n">
        <v>4.2</v>
      </c>
      <c r="G9" s="7" t="n">
        <v>0.27</v>
      </c>
      <c r="H9" s="7" t="n">
        <v>140</v>
      </c>
      <c r="I9" s="7" t="n">
        <v>6.43</v>
      </c>
      <c r="J9" s="7" t="n">
        <v>3.97</v>
      </c>
      <c r="K9" s="7" t="n">
        <v>9.800000000000001</v>
      </c>
      <c r="L9" s="8" t="inlineStr">
        <is>
          <t>⬆ Improving — harder target</t>
        </is>
      </c>
      <c r="M9" s="8" t="inlineStr">
        <is>
          <t>Do not lead with friction here. Compete on dining depth and dayparting instead.</t>
        </is>
      </c>
    </row>
    <row r="10">
      <c r="A10" s="5" t="inlineStr">
        <is>
          <t>Nexus Hyderabad Mall (Forum Sujana)</t>
        </is>
      </c>
      <c r="B10" s="5" t="inlineStr">
        <is>
          <t>Hyderabad</t>
        </is>
      </c>
      <c r="C10" s="5" t="n"/>
      <c r="D10" s="5" t="n"/>
      <c r="E10" s="5" t="n">
        <v>4.39</v>
      </c>
      <c r="F10" s="5" t="n">
        <v>4.42</v>
      </c>
      <c r="G10" s="5" t="n"/>
      <c r="H10" s="5" t="n">
        <v>1722</v>
      </c>
      <c r="I10" s="5" t="n">
        <v>5.57</v>
      </c>
      <c r="J10" s="5" t="n">
        <v>4.41</v>
      </c>
      <c r="K10" s="5" t="n">
        <v>5.46</v>
      </c>
      <c r="L10" s="6" t="inlineStr">
        <is>
          <t>Insufficient history</t>
        </is>
      </c>
      <c r="M10" s="6" t="inlineStr">
        <is>
          <t>Monitor only</t>
        </is>
      </c>
    </row>
    <row r="11">
      <c r="A11" s="7" t="inlineStr">
        <is>
          <t>Sarath City Capital Mall</t>
        </is>
      </c>
      <c r="B11" s="7" t="inlineStr">
        <is>
          <t>Hyderabad</t>
        </is>
      </c>
      <c r="C11" s="7" t="n"/>
      <c r="D11" s="7" t="n"/>
      <c r="E11" s="7" t="n"/>
      <c r="F11" s="7" t="n">
        <v>4.39</v>
      </c>
      <c r="G11" s="7" t="n"/>
      <c r="H11" s="7" t="n">
        <v>1610</v>
      </c>
      <c r="I11" s="7" t="n">
        <v>7.45</v>
      </c>
      <c r="J11" s="7" t="n">
        <v>4.39</v>
      </c>
      <c r="K11" s="7" t="n">
        <v>7.45</v>
      </c>
      <c r="L11" s="8" t="inlineStr">
        <is>
          <t>Insufficient history</t>
        </is>
      </c>
      <c r="M11" s="8" t="inlineStr">
        <is>
          <t>Monitor only</t>
        </is>
      </c>
    </row>
    <row r="12">
      <c r="A12" s="5" t="inlineStr">
        <is>
          <t>Amanora Mall</t>
        </is>
      </c>
      <c r="B12" s="5" t="inlineStr">
        <is>
          <t>Pune</t>
        </is>
      </c>
      <c r="C12" s="5" t="n"/>
      <c r="D12" s="5" t="n"/>
      <c r="E12" s="5" t="n">
        <v>4.62</v>
      </c>
      <c r="F12" s="5" t="n">
        <v>4.51</v>
      </c>
      <c r="G12" s="5" t="n"/>
      <c r="H12" s="5" t="n">
        <v>1443</v>
      </c>
      <c r="I12" s="5" t="n">
        <v>4.57</v>
      </c>
      <c r="J12" s="5" t="n">
        <v>4.52</v>
      </c>
      <c r="K12" s="5" t="n">
        <v>4.25</v>
      </c>
      <c r="L12" s="6" t="inlineStr">
        <is>
          <t>Insufficient history</t>
        </is>
      </c>
      <c r="M12" s="6" t="inlineStr">
        <is>
          <t>Monitor only</t>
        </is>
      </c>
    </row>
    <row r="13">
      <c r="A13" s="7" t="inlineStr">
        <is>
          <t>KOPA Mall, Pune</t>
        </is>
      </c>
      <c r="B13" s="7" t="inlineStr">
        <is>
          <t>Pune</t>
        </is>
      </c>
      <c r="C13" s="7" t="n"/>
      <c r="D13" s="7" t="n">
        <v>4.36</v>
      </c>
      <c r="E13" s="7" t="n">
        <v>4.45</v>
      </c>
      <c r="F13" s="7" t="n">
        <v>4.44</v>
      </c>
      <c r="G13" s="7" t="n"/>
      <c r="H13" s="7" t="n">
        <v>808</v>
      </c>
      <c r="I13" s="7" t="n">
        <v>5.82</v>
      </c>
      <c r="J13" s="7" t="n">
        <v>4.43</v>
      </c>
      <c r="K13" s="7" t="n">
        <v>6.22</v>
      </c>
      <c r="L13" s="8" t="inlineStr">
        <is>
          <t>Insufficient history</t>
        </is>
      </c>
      <c r="M13" s="8" t="inlineStr">
        <is>
          <t>Monitor only</t>
        </is>
      </c>
    </row>
    <row r="14">
      <c r="A14" s="5" t="inlineStr">
        <is>
          <t>Phoenix Avenue of Stars</t>
        </is>
      </c>
      <c r="B14" s="5" t="inlineStr">
        <is>
          <t>Pune</t>
        </is>
      </c>
      <c r="C14" s="5" t="n">
        <v>4.69</v>
      </c>
      <c r="D14" s="5" t="n">
        <v>4.56</v>
      </c>
      <c r="E14" s="5" t="n">
        <v>4.47</v>
      </c>
      <c r="F14" s="5" t="n">
        <v>3.92</v>
      </c>
      <c r="G14" s="5" t="n">
        <v>-0.77</v>
      </c>
      <c r="H14" s="5" t="n">
        <v>367</v>
      </c>
      <c r="I14" s="5" t="n">
        <v>20.71</v>
      </c>
      <c r="J14" s="5" t="n">
        <v>4.47</v>
      </c>
      <c r="K14" s="5" t="n">
        <v>6.19</v>
      </c>
      <c r="L14" s="6" t="inlineStr">
        <is>
          <t>⬇ Decaying — vulnerable catchment</t>
        </is>
      </c>
      <c r="M14" s="6" t="inlineStr">
        <is>
          <t>Priority conquest ring. Lead with this mall's top friction cluster.</t>
        </is>
      </c>
    </row>
    <row r="15">
      <c r="A15" s="7" t="inlineStr">
        <is>
          <t>Phoenix Mall of the Millennium</t>
        </is>
      </c>
      <c r="B15" s="7" t="inlineStr">
        <is>
          <t>Pune</t>
        </is>
      </c>
      <c r="C15" s="7" t="n"/>
      <c r="D15" s="7" t="n"/>
      <c r="E15" s="7" t="n">
        <v>5</v>
      </c>
      <c r="F15" s="7" t="n">
        <v>4.35</v>
      </c>
      <c r="G15" s="7" t="n"/>
      <c r="H15" s="7" t="n">
        <v>49</v>
      </c>
      <c r="I15" s="7" t="n">
        <v>12.24</v>
      </c>
      <c r="J15" s="7" t="n">
        <v>4.36</v>
      </c>
      <c r="K15" s="7" t="n">
        <v>12</v>
      </c>
      <c r="L15" s="8" t="inlineStr">
        <is>
          <t>Insufficient history</t>
        </is>
      </c>
      <c r="M15" s="8" t="inlineStr">
        <is>
          <t>Monitor only</t>
        </is>
      </c>
    </row>
    <row r="16">
      <c r="A16" s="5" t="inlineStr">
        <is>
          <t>Seasons Mall</t>
        </is>
      </c>
      <c r="B16" s="5" t="inlineStr">
        <is>
          <t>Pune</t>
        </is>
      </c>
      <c r="C16" s="5" t="n"/>
      <c r="D16" s="5" t="n"/>
      <c r="E16" s="5" t="n"/>
      <c r="F16" s="5" t="n">
        <v>4.5</v>
      </c>
      <c r="G16" s="5" t="n"/>
      <c r="H16" s="5" t="n">
        <v>1100</v>
      </c>
      <c r="I16" s="5" t="n">
        <v>5</v>
      </c>
      <c r="J16" s="5" t="n">
        <v>4.5</v>
      </c>
      <c r="K16" s="5" t="n">
        <v>5</v>
      </c>
      <c r="L16" s="6" t="inlineStr">
        <is>
          <t>Insufficient history</t>
        </is>
      </c>
      <c r="M16" s="6" t="inlineStr">
        <is>
          <t>Monitor only</t>
        </is>
      </c>
    </row>
    <row r="17">
      <c r="A17" s="7" t="inlineStr">
        <is>
          <t>The Pavillion Pune</t>
        </is>
      </c>
      <c r="B17" s="7" t="inlineStr">
        <is>
          <t>Pune</t>
        </is>
      </c>
      <c r="C17" s="7" t="n"/>
      <c r="D17" s="7" t="n"/>
      <c r="E17" s="7" t="n">
        <v>4.53</v>
      </c>
      <c r="F17" s="7" t="n">
        <v>4.52</v>
      </c>
      <c r="G17" s="7" t="n"/>
      <c r="H17" s="7" t="n">
        <v>1034</v>
      </c>
      <c r="I17" s="7" t="n">
        <v>4.93</v>
      </c>
      <c r="J17" s="7" t="n">
        <v>4.53</v>
      </c>
      <c r="K17" s="7" t="n">
        <v>4.42</v>
      </c>
      <c r="L17" s="8" t="inlineStr">
        <is>
          <t>Insufficient history</t>
        </is>
      </c>
      <c r="M17" s="8" t="inlineStr">
        <is>
          <t>Monitor only</t>
        </is>
      </c>
    </row>
    <row r="43" ht="22" customHeight="1">
      <c r="A43" s="55" t="inlineStr">
        <is>
          <t>B · THE THREE READS THAT MATTER</t>
        </is>
      </c>
    </row>
    <row r="44" ht="34" customHeight="1">
      <c r="A44" s="56" t="inlineStr">
        <is>
          <t>Read</t>
        </is>
      </c>
      <c r="B44" s="56" t="inlineStr">
        <is>
          <t>Evidence</t>
        </is>
      </c>
      <c r="C44" s="56" t="inlineStr">
        <is>
          <t>What to do</t>
        </is>
      </c>
    </row>
    <row r="45">
      <c r="A45" s="5" t="inlineStr">
        <is>
          <t>The Y-Junction catchment is the softest in the dataset</t>
        </is>
      </c>
      <c r="B45" s="6" t="inlineStr">
        <is>
          <t>Manjeera Trinity sits at a 3.97 all-time rating with 9.80% of reviews at 1-star and 2-star, and Lulu Hyderabad at 4.21 with 9.61% — the two worst scores of all 12 malls, and both share Lake Shore Y Junction's immediate catchment.</t>
        </is>
      </c>
      <c r="C45" s="6" t="inlineStr">
        <is>
          <t>Weight Hyderabad conquest spend toward these two rings first. This is the highest-probability share-shift available in the whole plan.</t>
        </is>
      </c>
    </row>
    <row r="46">
      <c r="A46" s="7" t="inlineStr">
        <is>
          <t>KOPA is competitive on satisfaction, not on visibility</t>
        </is>
      </c>
      <c r="B46" s="8" t="inlineStr">
        <is>
          <t>KOPA's 4.43 all-time average sits within 0.10 of Pune's best-rated mall, on a large 2,365-review base — but the handle ran zero boosted posts in twelve months while Phoenix Millennium ran 153.</t>
        </is>
      </c>
      <c r="C46" s="8" t="inlineStr">
        <is>
          <t>The Pune problem is not the product, it is share of voice. Fund Top of Funnel (Awareness) reach before investing in offer-led Bottom of Funnel (Action).</t>
        </is>
      </c>
    </row>
    <row r="47">
      <c r="A47" s="5" t="inlineStr">
        <is>
          <t>Review velocity has exploded across the category</t>
        </is>
      </c>
      <c r="B47" s="6" t="inlineStr">
        <is>
          <t>13,189 of 23,218 reviews were written in 2026 alone, versus 877 in 2023. Recent sentiment now dominates every mall's visible rating.</t>
        </is>
      </c>
      <c r="C47" s="6" t="inlineStr">
        <is>
          <t>Recent reviews move the public number fast, in both directions. Pair the media plan with an active review-response programme — and note KOPA's owner-response rate against rivals'.</t>
        </is>
      </c>
    </row>
    <row r="49" ht="28" customHeight="1">
      <c r="A49" s="9" t="inlineStr">
        <is>
          <t>[FROM THE DATA] Entirely computed. Note: Phoenix Mall of the Millennium has only 50 reviews in the scrape, so its year-on-year figures are directional only and should not be read as a real trend.</t>
        </is>
      </c>
    </row>
    <row r="59">
      <c r="T59" t="inlineStr">
        <is>
          <t>Mall</t>
        </is>
      </c>
      <c r="U59" t="inlineStr">
        <is>
          <t>2023</t>
        </is>
      </c>
      <c r="V59" t="inlineStr">
        <is>
          <t>2024</t>
        </is>
      </c>
      <c r="W59" t="inlineStr">
        <is>
          <t>2025</t>
        </is>
      </c>
      <c r="X59" t="inlineStr">
        <is>
          <t>2026</t>
        </is>
      </c>
    </row>
    <row r="60">
      <c r="T60" t="inlineStr">
        <is>
          <t>GVK One Mall</t>
        </is>
      </c>
      <c r="W60" t="n">
        <v>4.35</v>
      </c>
      <c r="X60" t="n">
        <v>4.33</v>
      </c>
    </row>
    <row r="61">
      <c r="T61" t="inlineStr">
        <is>
          <t>Inorbit Mall Cyberabad</t>
        </is>
      </c>
      <c r="X61" t="n">
        <v>4.47</v>
      </c>
    </row>
    <row r="62">
      <c r="T62" t="inlineStr">
        <is>
          <t>Lulu Mall Hyderabad (Y Junction)</t>
        </is>
      </c>
      <c r="W62" t="n">
        <v>4.26</v>
      </c>
      <c r="X62" t="n">
        <v>4.18</v>
      </c>
    </row>
    <row r="63">
      <c r="T63" t="inlineStr">
        <is>
          <t>Manjeera Trinity Mall (Y Junction)</t>
        </is>
      </c>
      <c r="U63" t="n">
        <v>3.93</v>
      </c>
      <c r="V63" t="n">
        <v>4.12</v>
      </c>
      <c r="W63" t="n">
        <v>4.15</v>
      </c>
      <c r="X63" t="n">
        <v>4.2</v>
      </c>
    </row>
    <row r="64">
      <c r="T64" t="inlineStr">
        <is>
          <t>Nexus Hyderabad Mall (Forum Sujana)</t>
        </is>
      </c>
      <c r="W64" t="n">
        <v>4.39</v>
      </c>
      <c r="X64" t="n">
        <v>4.42</v>
      </c>
    </row>
    <row r="65">
      <c r="T65" t="inlineStr">
        <is>
          <t>Sarath City Capital Mall</t>
        </is>
      </c>
      <c r="X65" t="n">
        <v>4.39</v>
      </c>
    </row>
    <row r="66">
      <c r="T66" t="inlineStr">
        <is>
          <t>Amanora Mall</t>
        </is>
      </c>
      <c r="W66" t="n">
        <v>4.62</v>
      </c>
      <c r="X66" t="n">
        <v>4.51</v>
      </c>
    </row>
    <row r="67">
      <c r="T67" t="inlineStr">
        <is>
          <t>KOPA Mall, Pune</t>
        </is>
      </c>
      <c r="V67" t="n">
        <v>4.36</v>
      </c>
      <c r="W67" t="n">
        <v>4.45</v>
      </c>
      <c r="X67" t="n">
        <v>4.44</v>
      </c>
    </row>
    <row r="68">
      <c r="T68" t="inlineStr">
        <is>
          <t>Phoenix Avenue of Stars</t>
        </is>
      </c>
      <c r="U68" t="n">
        <v>4.69</v>
      </c>
      <c r="V68" t="n">
        <v>4.56</v>
      </c>
      <c r="W68" t="n">
        <v>4.47</v>
      </c>
      <c r="X68" t="n">
        <v>3.92</v>
      </c>
    </row>
    <row r="69">
      <c r="T69" t="inlineStr">
        <is>
          <t>Phoenix Mall of the Millennium</t>
        </is>
      </c>
      <c r="W69" t="n">
        <v>5</v>
      </c>
      <c r="X69" t="n">
        <v>4.35</v>
      </c>
    </row>
    <row r="70">
      <c r="T70" t="inlineStr">
        <is>
          <t>Seasons Mall</t>
        </is>
      </c>
      <c r="X70" t="n">
        <v>4.5</v>
      </c>
    </row>
    <row r="71">
      <c r="T71" t="inlineStr">
        <is>
          <t>The Pavillion Pune</t>
        </is>
      </c>
      <c r="W71" t="n">
        <v>4.53</v>
      </c>
      <c r="X71" t="n">
        <v>4.52</v>
      </c>
    </row>
  </sheetData>
  <mergeCells count="5">
    <mergeCell ref="A2:L2"/>
    <mergeCell ref="A4:N4"/>
    <mergeCell ref="A1:L1"/>
    <mergeCell ref="A43:M43"/>
    <mergeCell ref="A49:M49"/>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047857"/>
    <outlinePr summaryBelow="1" summaryRight="1"/>
    <pageSetUpPr/>
  </sheetPr>
  <dimension ref="A1:L43"/>
  <sheetViews>
    <sheetView workbookViewId="0">
      <selection activeCell="A1" sqref="A1"/>
    </sheetView>
  </sheetViews>
  <sheetFormatPr baseColWidth="8" defaultRowHeight="15"/>
  <cols>
    <col width="64" customWidth="1" min="1" max="1"/>
    <col width="120" customWidth="1" min="2" max="2"/>
    <col width="54" customWidth="1" min="3" max="3"/>
    <col width="26" customWidth="1" min="4" max="4"/>
    <col width="74" customWidth="1" min="5" max="5"/>
    <col width="54" customWidth="1" min="6" max="6"/>
    <col width="30" customWidth="1" min="7" max="7"/>
    <col width="44" customWidth="1" min="8" max="8"/>
  </cols>
  <sheetData>
    <row r="1" ht="30" customHeight="1">
      <c r="A1" s="57" t="inlineStr">
        <is>
          <t>12 · FAQ MINING &amp; COMMENT-TO-DIRECT-MESSAGE AUTOMATION</t>
        </is>
      </c>
    </row>
    <row r="2" ht="20" customHeight="1">
      <c r="A2" s="2" t="inlineStr">
        <is>
          <t>Mined from 1,524 real Instagram comments across 120 reels. Every trigger keyword below was actually typed by a real user in this dataset.</t>
        </is>
      </c>
    </row>
    <row r="4" ht="22" customHeight="1">
      <c r="A4" s="58" t="inlineStr">
        <is>
          <t>A · WHAT PEOPLE ACTUALLY ASK IN THE COMMENTS</t>
        </is>
      </c>
    </row>
    <row r="5" ht="34" customHeight="1">
      <c r="A5" s="59" t="inlineStr">
        <is>
          <t>FAQ cluster</t>
        </is>
      </c>
      <c r="B5" s="59" t="inlineStr">
        <is>
          <t>Comments</t>
        </is>
      </c>
      <c r="C5" s="59" t="inlineStr">
        <is>
          <t>Share of all comments</t>
        </is>
      </c>
      <c r="D5" s="59" t="inlineStr">
        <is>
          <t>Top verbatim example</t>
        </is>
      </c>
      <c r="E5" s="59" t="inlineStr">
        <is>
          <t>Malls where it appears most</t>
        </is>
      </c>
      <c r="F5" s="59" t="inlineStr">
        <is>
          <t>Answer this with</t>
        </is>
      </c>
    </row>
    <row r="6">
      <c r="A6" s="5" t="inlineStr">
        <is>
          <t>🍽️ Dining / Table Booking</t>
        </is>
      </c>
      <c r="B6" s="5" t="n">
        <v>78</v>
      </c>
      <c r="C6" s="5" t="inlineStr">
        <is>
          <t>5.1%</t>
        </is>
      </c>
      <c r="D6" s="6" t="inlineStr">
        <is>
          <t>Hi Guys I watched Dhurandhar in the luxe screen. the ambience,service is good but the worst part is screen. It's just like a home theater and you will not be sa</t>
        </is>
      </c>
      <c r="E6" s="6" t="inlineStr">
        <is>
          <t>Inorbit Mall Cyberabad (31), Amanora Mall Pune (20), Sarath City Capital Mall Hyderabad (9)</t>
        </is>
      </c>
      <c r="F6" s="6" t="inlineStr">
        <is>
          <t>Auto Direct Message with the restaurant list + a live reservation link</t>
        </is>
      </c>
    </row>
    <row r="7">
      <c r="A7" s="7" t="inlineStr">
        <is>
          <t>🕐 Timings &amp; Days</t>
        </is>
      </c>
      <c r="B7" s="7" t="n">
        <v>37</v>
      </c>
      <c r="C7" s="7" t="inlineStr">
        <is>
          <t>2.4%</t>
        </is>
      </c>
      <c r="D7" s="8" t="inlineStr">
        <is>
          <t>Tickets are available on both Book My Show and District for Durandhar 2 right now.  Select PVR Inorbit Mall, Durandhar 2, then you’ll see certain show timings m</t>
        </is>
      </c>
      <c r="E7" s="8" t="inlineStr">
        <is>
          <t>Amanora Mall Pune (9), Inorbit Mall Cyberabad (8), Sarath City Capital Mall Hyderabad (7)</t>
        </is>
      </c>
      <c r="F7" s="8" t="inlineStr">
        <is>
          <t>Auto Direct Message with opening hours + today's late-night exception</t>
        </is>
      </c>
    </row>
    <row r="8">
      <c r="A8" s="5" t="inlineStr">
        <is>
          <t>💰 Price / Entry Fee</t>
        </is>
      </c>
      <c r="B8" s="5" t="n">
        <v>35</v>
      </c>
      <c r="C8" s="5" t="inlineStr">
        <is>
          <t>2.3%</t>
        </is>
      </c>
      <c r="D8" s="6" t="inlineStr">
        <is>
          <t>Price per head is ₹2k, is this true?</t>
        </is>
      </c>
      <c r="E8" s="6" t="inlineStr">
        <is>
          <t>Amanora Mall Pune (15), Inorbit Mall Cyberabad (9), Phoenix Mall of the Millennium Wakad (4)</t>
        </is>
      </c>
      <c r="F8" s="6" t="inlineStr">
        <is>
          <t>Auto Direct Message with 'free entry, here's what a dinner for two actually costs'</t>
        </is>
      </c>
    </row>
    <row r="9">
      <c r="A9" s="7" t="inlineStr">
        <is>
          <t>🛍️ Store / Brand Availability</t>
        </is>
      </c>
      <c r="B9" s="7" t="n">
        <v>28</v>
      </c>
      <c r="C9" s="7" t="inlineStr">
        <is>
          <t>1.8%</t>
        </is>
      </c>
      <c r="D9" s="8" t="inlineStr">
        <is>
          <t>Tickets are available on both Book My Show and District for Durandhar 2 right now.  Select PVR Inorbit Mall, Durandhar 2, then you’ll see certain show timings m</t>
        </is>
      </c>
      <c r="E9" s="8" t="inlineStr">
        <is>
          <t>Inorbit Mall Cyberabad (12), Phoenix Mall of the Millennium Wakad (6), Amanora Mall Pune (3)</t>
        </is>
      </c>
      <c r="F9" s="8" t="inlineStr">
        <is>
          <t>Auto Direct Message with the floor directory deep-link for that brand</t>
        </is>
      </c>
    </row>
    <row r="10">
      <c r="A10" s="5" t="inlineStr">
        <is>
          <t>🎬 Movie / Cinema</t>
        </is>
      </c>
      <c r="B10" s="5" t="n">
        <v>26</v>
      </c>
      <c r="C10" s="5" t="inlineStr">
        <is>
          <t>1.7%</t>
        </is>
      </c>
      <c r="D10" s="6" t="inlineStr">
        <is>
          <t>Who needs this distraction between a good movie?</t>
        </is>
      </c>
      <c r="E10" s="6" t="inlineStr">
        <is>
          <t>Inorbit Mall Cyberabad (11), Phoenix Mall of the Millennium Wakad (6), Amanora Mall Pune (4)</t>
        </is>
      </c>
      <c r="F10" s="6" t="inlineStr">
        <is>
          <t>Auto Direct Message with the cinema showtimes link</t>
        </is>
      </c>
    </row>
    <row r="11">
      <c r="A11" s="7" t="inlineStr">
        <is>
          <t>📍 Location &amp; Directions</t>
        </is>
      </c>
      <c r="B11" s="7" t="n">
        <v>23</v>
      </c>
      <c r="C11" s="7" t="inlineStr">
        <is>
          <t>1.5%</t>
        </is>
      </c>
      <c r="D11" s="8" t="inlineStr">
        <is>
          <t>Hi Guys I watched Dhurandhar in the luxe screen. the ambience,service is good but the worst part is screen. It's just like a home theater and you will not be sa</t>
        </is>
      </c>
      <c r="E11" s="8" t="inlineStr">
        <is>
          <t>Amanora Mall Pune (6), Phoenix Mall of the Millennium Wakad (4), Sarath City Capital Mall Hyderabad (4)</t>
        </is>
      </c>
      <c r="F11" s="8" t="inlineStr">
        <is>
          <t>Auto Direct Message with the Google Maps PIN + drive-time</t>
        </is>
      </c>
    </row>
    <row r="12">
      <c r="A12" s="5" t="inlineStr">
        <is>
          <t>🐾 Pet Policy</t>
        </is>
      </c>
      <c r="B12" s="5" t="n">
        <v>16</v>
      </c>
      <c r="C12" s="5" t="inlineStr">
        <is>
          <t>1.0%</t>
        </is>
      </c>
      <c r="D12" s="6" t="inlineStr">
        <is>
          <t>"I'm just your friendly neighborhood Spider-Man." — A classic line emphasizing Peter's humble nature #InorbitCyberabad #SpiderManBrandNewDay #SpiderMan @inorbit</t>
        </is>
      </c>
      <c r="E12" s="6" t="inlineStr">
        <is>
          <t>Amanora Mall Pune (6), Phoenix Avenue of Stars Pune (2), Phoenix Mall of the Millennium Wakad (2)</t>
        </is>
      </c>
      <c r="F12" s="6" t="inlineStr">
        <is>
          <t>Auto Direct Message with the pet policy card + pet-friendly outlet list</t>
        </is>
      </c>
    </row>
    <row r="13">
      <c r="A13" s="7" t="inlineStr">
        <is>
          <t>🤝 Collab / Business Enquiry</t>
        </is>
      </c>
      <c r="B13" s="7" t="n">
        <v>9</v>
      </c>
      <c r="C13" s="7" t="inlineStr">
        <is>
          <t>0.6%</t>
        </is>
      </c>
      <c r="D13" s="8" t="inlineStr">
        <is>
          <t>Gutthi, Dr. Mashoor Gulati, and Rinku Bhabhi—honestly, they are so iconic I forget Sunil Grover is even playing them. @princessgatha_v @l_nehaaa @pilluandmau_du</t>
        </is>
      </c>
      <c r="E13" s="8" t="inlineStr">
        <is>
          <t>Amanora Mall Pune (5), Sarath City Capital Mall Hyderabad (3), The Pavillion Pune (1)</t>
        </is>
      </c>
      <c r="F13" s="8" t="inlineStr">
        <is>
          <t>Route to the creator-partnerships inbox, not the public reply</t>
        </is>
      </c>
    </row>
    <row r="14">
      <c r="A14" s="5" t="inlineStr">
        <is>
          <t>🅿️ Parking &amp; Valet</t>
        </is>
      </c>
      <c r="B14" s="5" t="n">
        <v>2</v>
      </c>
      <c r="C14" s="5" t="inlineStr">
        <is>
          <t>0.1%</t>
        </is>
      </c>
      <c r="D14" s="6" t="inlineStr">
        <is>
          <t>🕷️🕸️ Spider-Man always takes me back to my graduation days! 🎓 . Right after college classes, my friend and I had only one mission: skip going home and swing str</t>
        </is>
      </c>
      <c r="E14" s="6" t="inlineStr">
        <is>
          <t>Phoenix Mall of the Millennium Wakad (1), Inorbit Mall Cyberabad (1)</t>
        </is>
      </c>
      <c r="F14" s="6" t="inlineStr">
        <is>
          <t>Auto Direct Message with valet hours + this weekend's free-valet voucher</t>
        </is>
      </c>
    </row>
    <row r="16" ht="22" customHeight="1">
      <c r="A16" s="58" t="inlineStr">
        <is>
          <t>B · language analysis INTENT &amp; SENTIMENT SPLIT (as tagged in the scrape)</t>
        </is>
      </c>
    </row>
    <row r="17" ht="34" customHeight="1">
      <c r="A17" s="59" t="inlineStr">
        <is>
          <t>Intent category</t>
        </is>
      </c>
      <c r="B17" s="59" t="inlineStr">
        <is>
          <t>Comments</t>
        </is>
      </c>
      <c r="C17" s="59" t="inlineStr">
        <is>
          <t>Sentiment label</t>
        </is>
      </c>
      <c r="D17" s="59" t="inlineStr">
        <is>
          <t>What a media buyer does with it</t>
        </is>
      </c>
    </row>
    <row r="18">
      <c r="A18" s="5" t="inlineStr">
        <is>
          <t>💬 General Community Engagement</t>
        </is>
      </c>
      <c r="B18" s="5" t="n">
        <v>1329</v>
      </c>
      <c r="C18" s="5" t="inlineStr">
        <is>
          <t>Neutral</t>
        </is>
      </c>
      <c r="D18" s="6" t="inlineStr">
        <is>
          <t>Volume, not intent. Use as an engagement-custom-audience seed only.</t>
        </is>
      </c>
    </row>
    <row r="19">
      <c r="A19" s="7" t="inlineStr">
        <is>
          <t>✨ Aesthetic &amp; Vibe Appreciation</t>
        </is>
      </c>
      <c r="B19" s="7" t="n">
        <v>138</v>
      </c>
      <c r="C19" s="7" t="inlineStr">
        <is>
          <t>Positive (Brand Affinity)</t>
        </is>
      </c>
      <c r="D19" s="8" t="inlineStr">
        <is>
          <t>Brand affinity. These users are your cheapest Partnership-Ad amplification pool.</t>
        </is>
      </c>
    </row>
    <row r="20">
      <c r="A20" s="5" t="inlineStr">
        <is>
          <t>🎟️ Event Ticket &amp; Entry Inquiry</t>
        </is>
      </c>
      <c r="B20" s="5" t="n">
        <v>25</v>
      </c>
      <c r="C20" s="5" t="inlineStr">
        <is>
          <t>High Event Intent</t>
        </is>
      </c>
      <c r="D20" s="6" t="inlineStr">
        <is>
          <t>Live purchase intent going unserved. 25 people asked to buy and got a comment reply. Automate it.</t>
        </is>
      </c>
    </row>
    <row r="21">
      <c r="A21" s="7" t="inlineStr">
        <is>
          <t>👥 Overcrowding &amp; Queue Friction</t>
        </is>
      </c>
      <c r="B21" s="7" t="n">
        <v>17</v>
      </c>
      <c r="C21" s="7" t="inlineStr">
        <is>
          <t>—</t>
        </is>
      </c>
      <c r="D21" s="8" t="inlineStr">
        <is>
          <t>Negative friction on a RIVAL's reel is a conquest audience. On your own, it is an ops ticket.</t>
        </is>
      </c>
    </row>
    <row r="22">
      <c r="A22" s="5" t="inlineStr">
        <is>
          <t>🍽️ Dining &amp; F&amp;B Inquiry</t>
        </is>
      </c>
      <c r="B22" s="5" t="n">
        <v>12</v>
      </c>
      <c r="C22" s="5" t="inlineStr">
        <is>
          <t>Dining Purchase Intent</t>
        </is>
      </c>
      <c r="D22" s="6" t="inlineStr">
        <is>
          <t>—</t>
        </is>
      </c>
    </row>
    <row r="23">
      <c r="A23" s="7" t="inlineStr">
        <is>
          <t>🚗 Parking &amp; Traffic Friction</t>
        </is>
      </c>
      <c r="B23" s="7" t="n">
        <v>2</v>
      </c>
      <c r="C23" s="7" t="inlineStr">
        <is>
          <t>—</t>
        </is>
      </c>
      <c r="D23" s="8" t="inlineStr">
        <is>
          <t>Low comment volume but the #1 complaint in Google reviews — people vent on Maps, not Instagram.</t>
        </is>
      </c>
    </row>
    <row r="24">
      <c r="A24" s="5" t="inlineStr">
        <is>
          <t>🛍️ Store &amp; Brand Location Query</t>
        </is>
      </c>
      <c r="B24" s="5" t="n">
        <v>1</v>
      </c>
      <c r="C24" s="5" t="inlineStr">
        <is>
          <t>High Purchase Intent</t>
        </is>
      </c>
      <c r="D24" s="6" t="inlineStr">
        <is>
          <t>Route to the floor-directory Direct Message flow.</t>
        </is>
      </c>
    </row>
    <row r="26" ht="22" customHeight="1">
      <c r="A26" s="58" t="inlineStr">
        <is>
          <t>C · FIVE COMMENT-TO-DIRECT-MESSAGE AUTOMATIONS — BUILD THESE FIRST</t>
        </is>
      </c>
    </row>
    <row r="27" ht="34" customHeight="1">
      <c r="A27" s="59" t="inlineStr">
        <is>
          <t>#</t>
        </is>
      </c>
      <c r="B27" s="59" t="inlineStr">
        <is>
          <t>Flow name</t>
        </is>
      </c>
      <c r="C27" s="59" t="inlineStr">
        <is>
          <t>Trigger keywords (real, from the data)</t>
        </is>
      </c>
      <c r="D27" s="59" t="inlineStr">
        <is>
          <t>Auto public reply</t>
        </is>
      </c>
      <c r="E27" s="59" t="inlineStr">
        <is>
          <t>Direct Message 1</t>
        </is>
      </c>
      <c r="F27" s="59" t="inlineStr">
        <is>
          <t>Direct Message 2 (the capture)</t>
        </is>
      </c>
      <c r="G27" s="59" t="inlineStr">
        <is>
          <t>Delivers</t>
        </is>
      </c>
      <c r="H27" s="59" t="inlineStr">
        <is>
          <t>Feeds which audience</t>
        </is>
      </c>
    </row>
    <row r="28">
      <c r="A28" s="5" t="n">
        <v>1</v>
      </c>
      <c r="B28" s="5" t="inlineStr">
        <is>
          <t>PIN DROP</t>
        </is>
      </c>
      <c r="C28" s="6" t="inlineStr">
        <is>
          <t>where, location, address, kaha, kahan, how to reach, near</t>
        </is>
      </c>
      <c r="D28" s="5" t="inlineStr">
        <is>
          <t>Sent you the pin 📍</t>
        </is>
      </c>
      <c r="E28" s="6" t="inlineStr">
        <is>
          <t>Hi! Here's the exact pin for [MALL NAME] — tap for live drive-time from where you are. 📍 [Maps link]</t>
        </is>
      </c>
      <c r="F28" s="6" t="inlineStr">
        <is>
          <t>One tap and I'll also send you what's open late tonight. Want it?</t>
        </is>
      </c>
      <c r="G28" s="5" t="inlineStr">
        <is>
          <t>Google Maps PIN + drive time</t>
        </is>
      </c>
      <c r="H28" s="6" t="inlineStr">
        <is>
          <t>LS_DIRECTIONS → T2-R1/R3 retarget</t>
        </is>
      </c>
    </row>
    <row r="29">
      <c r="A29" s="7" t="n">
        <v>2</v>
      </c>
      <c r="B29" s="7" t="inlineStr">
        <is>
          <t>TABLE HOLD</t>
        </is>
      </c>
      <c r="C29" s="8" t="inlineStr">
        <is>
          <t>table, book, reservation, restaurant, dinner, menu, food</t>
        </is>
      </c>
      <c r="D29" s="7" t="inlineStr">
        <is>
          <t>Messaged you the reservation link 🍽️</t>
        </is>
      </c>
      <c r="E29" s="8" t="inlineStr">
        <is>
          <t>Here's the full restaurant list at [MALL NAME] with live availability: [link]</t>
        </is>
      </c>
      <c r="F29" s="8" t="inlineStr">
        <is>
          <t>Want me to hold a table? Reply with a time and party size.</t>
        </is>
      </c>
      <c r="G29" s="7" t="inlineStr">
        <is>
          <t>Reservation link + hold request</t>
        </is>
      </c>
      <c r="H29" s="8" t="inlineStr">
        <is>
          <t>LS_RESERVATION → Bottom of Funnel (Action) dining audience</t>
        </is>
      </c>
    </row>
    <row r="30">
      <c r="A30" s="5" t="n">
        <v>3</v>
      </c>
      <c r="B30" s="5" t="inlineStr">
        <is>
          <t>VALET PASS</t>
        </is>
      </c>
      <c r="C30" s="6" t="inlineStr">
        <is>
          <t>parking, valet, park</t>
        </is>
      </c>
      <c r="D30" s="5" t="inlineStr">
        <is>
          <t>Check your Direct Messages 🅿️</t>
        </is>
      </c>
      <c r="E30" s="6" t="inlineStr">
        <is>
          <t>Valet runs 11am to 11pm at [MALL NAME]. Here's your free first-hour voucher: [QR link]</t>
        </is>
      </c>
      <c r="F30" s="6" t="inlineStr">
        <is>
          <t>Scan the QR at the valet desk — it's already loaded to your number.</t>
        </is>
      </c>
      <c r="G30" s="5" t="inlineStr">
        <is>
          <t>Valet voucher QR</t>
        </is>
      </c>
      <c r="H30" s="6" t="inlineStr">
        <is>
          <t>LS_VALET_SCAN → T2-L1 Value Lookalike seed</t>
        </is>
      </c>
    </row>
    <row r="31">
      <c r="A31" s="7" t="n">
        <v>4</v>
      </c>
      <c r="B31" s="7" t="inlineStr">
        <is>
          <t>STORE FINDER</t>
        </is>
      </c>
      <c r="C31" s="8" t="inlineStr">
        <is>
          <t>store, shop, brand, available, which floor, outlet</t>
        </is>
      </c>
      <c r="D31" s="7" t="inlineStr">
        <is>
          <t>Sent 🛍️</t>
        </is>
      </c>
      <c r="E31" s="8" t="inlineStr">
        <is>
          <t>That store is on [floor] at [MALL NAME]. Here's the directory: [link]</t>
        </is>
      </c>
      <c r="F31" s="8" t="inlineStr">
        <is>
          <t>Want the current offers running there this week?</t>
        </is>
      </c>
      <c r="G31" s="7" t="inlineStr">
        <is>
          <t>Floor directory deep-link</t>
        </is>
      </c>
      <c r="H31" s="8" t="inlineStr">
        <is>
          <t>LS_DM_OPTIN → tenant co-op audience (Tab 9)</t>
        </is>
      </c>
    </row>
    <row r="32">
      <c r="A32" s="5" t="n">
        <v>5</v>
      </c>
      <c r="B32" s="5" t="inlineStr">
        <is>
          <t>WHAT'S ON</t>
        </is>
      </c>
      <c r="C32" s="6" t="inlineStr">
        <is>
          <t>event, ticket, show, timing, open, entry, price</t>
        </is>
      </c>
      <c r="D32" s="5" t="inlineStr">
        <is>
          <t>Messaged you 🎟️</t>
        </is>
      </c>
      <c r="E32" s="6" t="inlineStr">
        <is>
          <t>Here's what's on at [MALL NAME] this week — entry is free, tickets only for [event]: [link]</t>
        </is>
      </c>
      <c r="F32" s="6" t="inlineStr">
        <is>
          <t>Want a reminder an hour before it starts?</t>
        </is>
      </c>
      <c r="G32" s="5" t="inlineStr">
        <is>
          <t>Event calendar + ticket link</t>
        </is>
      </c>
      <c r="H32" s="6" t="inlineStr">
        <is>
          <t>LS_TICKET → event retargeting pool</t>
        </is>
      </c>
    </row>
    <row r="34" ht="22" customHeight="1">
      <c r="A34" s="58" t="inlineStr">
        <is>
          <t>D · RULES FOR RUNNING THIS WITHOUT GETTING RESTRICTED</t>
        </is>
      </c>
    </row>
    <row r="35" ht="34" customHeight="1">
      <c r="A35" s="59" t="inlineStr">
        <is>
          <t>Rule</t>
        </is>
      </c>
      <c r="B35" s="59" t="inlineStr">
        <is>
          <t>Why</t>
        </is>
      </c>
    </row>
    <row r="36">
      <c r="A36" s="5" t="inlineStr">
        <is>
          <t>Always post a public reply as well as the Direct Message.</t>
        </is>
      </c>
      <c r="B36" s="6" t="inlineStr">
        <is>
          <t>A comment answered only in Direct Messages looks unanswered to the next 500 people who read the thread. The public reply is the ad; the Direct Message is the conversion.</t>
        </is>
      </c>
    </row>
    <row r="37">
      <c r="A37" s="7" t="inlineStr">
        <is>
          <t>Never trigger on a negative comment.</t>
        </is>
      </c>
      <c r="B37" s="8" t="inlineStr">
        <is>
          <t>19 comments in this set are tagged Negative (Friction). Those need a human, not a bot. Route them to a person and respond in under an hour.</t>
        </is>
      </c>
    </row>
    <row r="38">
      <c r="A38" s="5" t="inlineStr">
        <is>
          <t>Keep Direct Message 1 useful with no ask attached.</t>
        </is>
      </c>
      <c r="B38" s="6" t="inlineStr">
        <is>
          <t>The capture belongs in Direct Message 2. An immediate ask on Direct Message 1 is what gets accounts reported and rate-limited.</t>
        </is>
      </c>
    </row>
    <row r="39">
      <c r="A39" s="7" t="inlineStr">
        <is>
          <t>Comply with Meta's 24-hour messaging window.</t>
        </is>
      </c>
      <c r="B39" s="8" t="inlineStr">
        <is>
          <t>Outside 24 hours you need a message tag or a paid sponsored message. Build the phone/email capture inside the window or you lose the contact.</t>
        </is>
      </c>
    </row>
    <row r="40">
      <c r="A40" s="5" t="inlineStr">
        <is>
          <t>Get Digital Personal Data Protection consent before storing anything.</t>
        </is>
      </c>
      <c r="B40" s="6" t="inlineStr">
        <is>
          <t>Any hashed phone or email going to the Conversions API needs a capture consent step first.</t>
        </is>
      </c>
    </row>
    <row r="41">
      <c r="A41" s="7" t="inlineStr">
        <is>
          <t>Run the flows on rivals' comment sections too? No.</t>
        </is>
      </c>
      <c r="B41" s="8" t="inlineStr">
        <is>
          <t>Do not automate on competitor posts. It is a fast route to a restricted account and it looks cheap. Reach that audience with the geofence instead (Tab 2).</t>
        </is>
      </c>
    </row>
    <row r="43" ht="28" customHeight="1">
      <c r="A43" s="9" t="inlineStr">
        <is>
          <t>[FROM THE DATA] Every trigger keyword above was matched against real comment text in the 1,524-comment scrape; the cluster counts are the match volumes. [PLANNING] The Direct Message copy, flow structure and rules are the build spec.</t>
        </is>
      </c>
    </row>
  </sheetData>
  <mergeCells count="7">
    <mergeCell ref="A26:L26"/>
    <mergeCell ref="A2:L2"/>
    <mergeCell ref="A16:L16"/>
    <mergeCell ref="A43:H43"/>
    <mergeCell ref="A1:L1"/>
    <mergeCell ref="A34:L34"/>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2026-09-02T10:20:31Z</dcterms:created>
  <dcterms:modified xmlns:dcterms="http://purl.org/dc/terms/" xmlns:xsi="http://www.w3.org/2001/XMLSchema-instance" xsi:type="dcterms:W3CDTF">2026-09-02T10:20:33Z</dcterms:modified>
</cp:coreProperties>
</file>